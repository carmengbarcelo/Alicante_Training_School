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me\Downloads\"/>
    </mc:Choice>
  </mc:AlternateContent>
  <xr:revisionPtr revIDLastSave="0" documentId="8_{546E545E-DC88-4A87-B704-E03E288F50B4}" xr6:coauthVersionLast="47" xr6:coauthVersionMax="47" xr10:uidLastSave="{00000000-0000-0000-0000-000000000000}"/>
  <bookViews>
    <workbookView xWindow="-108" yWindow="-108" windowWidth="23256" windowHeight="12456" xr2:uid="{644DCEEE-5CD4-4F3F-9760-D2291E01FE9C}"/>
  </bookViews>
  <sheets>
    <sheet name="Charred remains_R" sheetId="1" r:id="rId1"/>
  </sheets>
  <definedNames>
    <definedName name="_xlnm._FilterDatabase" localSheetId="0" hidden="1">'Charred remains_R'!$A$1:$AY$349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2" i="1" l="1"/>
  <c r="S512" i="1"/>
  <c r="V511" i="1"/>
  <c r="S511" i="1"/>
  <c r="V506" i="1"/>
  <c r="S506" i="1"/>
  <c r="AJ502" i="1"/>
  <c r="V502" i="1"/>
  <c r="S502" i="1"/>
  <c r="V499" i="1"/>
  <c r="S499" i="1"/>
  <c r="V493" i="1"/>
  <c r="S493" i="1"/>
  <c r="S492" i="1"/>
  <c r="V490" i="1"/>
  <c r="S490" i="1"/>
  <c r="AJ489" i="1"/>
  <c r="V489" i="1"/>
  <c r="S489" i="1"/>
  <c r="V488" i="1"/>
  <c r="S488" i="1"/>
  <c r="V487" i="1"/>
  <c r="S487" i="1"/>
  <c r="S483" i="1"/>
  <c r="S482" i="1"/>
  <c r="S481" i="1"/>
  <c r="V478" i="1"/>
  <c r="S478" i="1"/>
  <c r="S477" i="1"/>
  <c r="V473" i="1"/>
  <c r="S473" i="1"/>
  <c r="S469" i="1"/>
  <c r="S466" i="1"/>
  <c r="S463" i="1"/>
  <c r="V462" i="1"/>
  <c r="S462" i="1"/>
  <c r="V459" i="1"/>
  <c r="S459" i="1"/>
  <c r="S455" i="1"/>
  <c r="S454" i="1"/>
  <c r="S453" i="1"/>
  <c r="S452" i="1"/>
  <c r="S445" i="1"/>
  <c r="AJ444" i="1"/>
  <c r="V444" i="1"/>
  <c r="S444" i="1"/>
  <c r="S441" i="1"/>
  <c r="S440" i="1"/>
  <c r="S439" i="1"/>
  <c r="S438" i="1"/>
  <c r="S437" i="1"/>
  <c r="S436" i="1"/>
  <c r="S435" i="1"/>
  <c r="S423" i="1"/>
  <c r="S422" i="1"/>
  <c r="V420" i="1"/>
  <c r="S420" i="1"/>
  <c r="V419" i="1"/>
  <c r="S419" i="1"/>
  <c r="S418" i="1"/>
  <c r="S417" i="1"/>
  <c r="AJ415" i="1"/>
  <c r="V415" i="1"/>
  <c r="S415" i="1"/>
  <c r="V410" i="1"/>
  <c r="S408" i="1"/>
  <c r="V407" i="1"/>
  <c r="S407" i="1"/>
  <c r="S406" i="1"/>
  <c r="S405" i="1"/>
  <c r="V403" i="1"/>
  <c r="S403" i="1"/>
  <c r="S402" i="1"/>
  <c r="S401" i="1"/>
  <c r="V400" i="1"/>
  <c r="S400" i="1"/>
  <c r="S399" i="1"/>
  <c r="V398" i="1"/>
  <c r="S398" i="1"/>
  <c r="S396" i="1"/>
  <c r="V390" i="1"/>
  <c r="S390" i="1"/>
  <c r="S389" i="1"/>
  <c r="V388" i="1"/>
  <c r="S388" i="1"/>
  <c r="V387" i="1"/>
  <c r="S387" i="1"/>
  <c r="V386" i="1"/>
  <c r="S386" i="1"/>
  <c r="V385" i="1"/>
  <c r="S385" i="1"/>
  <c r="V384" i="1"/>
  <c r="S384" i="1"/>
  <c r="V383" i="1"/>
  <c r="S383" i="1"/>
  <c r="V382" i="1"/>
  <c r="S382" i="1"/>
  <c r="V381" i="1"/>
  <c r="S381" i="1"/>
  <c r="V380" i="1"/>
  <c r="S380" i="1"/>
  <c r="V379" i="1"/>
  <c r="S379" i="1"/>
  <c r="V378" i="1"/>
  <c r="S378" i="1"/>
  <c r="V377" i="1"/>
  <c r="S377" i="1"/>
  <c r="V376" i="1"/>
  <c r="S376" i="1"/>
  <c r="V375" i="1"/>
  <c r="S375" i="1"/>
  <c r="V374" i="1"/>
  <c r="S374" i="1"/>
  <c r="V373" i="1"/>
  <c r="S373" i="1"/>
  <c r="V372" i="1"/>
  <c r="S372" i="1"/>
  <c r="V371" i="1"/>
  <c r="S371" i="1"/>
  <c r="V370" i="1"/>
  <c r="S370" i="1"/>
  <c r="V369" i="1"/>
  <c r="S369" i="1"/>
  <c r="V368" i="1"/>
  <c r="S368" i="1"/>
  <c r="V367" i="1"/>
  <c r="S367" i="1"/>
  <c r="V366" i="1"/>
  <c r="S366" i="1"/>
  <c r="V365" i="1"/>
  <c r="S365" i="1"/>
  <c r="V364" i="1"/>
  <c r="S364" i="1"/>
  <c r="V363" i="1"/>
  <c r="S363" i="1"/>
  <c r="V362" i="1"/>
  <c r="S362" i="1"/>
  <c r="V361" i="1"/>
  <c r="S361" i="1"/>
  <c r="S360" i="1"/>
  <c r="S358" i="1"/>
  <c r="S355" i="1"/>
  <c r="S354" i="1"/>
  <c r="S353" i="1"/>
  <c r="S352" i="1"/>
  <c r="S351" i="1"/>
  <c r="S350" i="1"/>
  <c r="S349" i="1"/>
  <c r="V348" i="1"/>
  <c r="S348" i="1"/>
  <c r="V347" i="1"/>
  <c r="S347" i="1"/>
</calcChain>
</file>

<file path=xl/sharedStrings.xml><?xml version="1.0" encoding="utf-8"?>
<sst xmlns="http://schemas.openxmlformats.org/spreadsheetml/2006/main" count="5993" uniqueCount="1005">
  <si>
    <t>Geographical location_Site</t>
  </si>
  <si>
    <t>Geographical location_Municipality</t>
  </si>
  <si>
    <t>Geographical location_X</t>
  </si>
  <si>
    <t>Geographical location_Y</t>
  </si>
  <si>
    <t>Geographical location_Z</t>
  </si>
  <si>
    <t>Geographical location_Country</t>
  </si>
  <si>
    <t>Geographical location_Agroclimatic_zone</t>
  </si>
  <si>
    <t>Chronology_TPQ</t>
  </si>
  <si>
    <t>Chronology_TAQ</t>
  </si>
  <si>
    <t>Chrono 1</t>
  </si>
  <si>
    <t>Chrono 2</t>
  </si>
  <si>
    <t>Chrono 3</t>
  </si>
  <si>
    <t>Archaeological_context_Type_site</t>
  </si>
  <si>
    <t>Archaeological_context_Particular_context</t>
  </si>
  <si>
    <t>Archaeological_context_Wealthy</t>
  </si>
  <si>
    <t>Sampling_0.5mesh</t>
  </si>
  <si>
    <t>Counts&amp;types_products_Total_wholecereals</t>
  </si>
  <si>
    <t>Counts&amp;types_products_Total_fragcereals</t>
  </si>
  <si>
    <t>Counts&amp;types_products_NMIcereals</t>
  </si>
  <si>
    <t>Counts&amp;types_products_Total_wholepulses</t>
  </si>
  <si>
    <t>Counts&amp;types_products_Total_fragpulses</t>
  </si>
  <si>
    <t>Counts&amp;types_products_NMIpulses</t>
  </si>
  <si>
    <t>Counts&amp;types_products_Total_samples</t>
  </si>
  <si>
    <t>Secale_Ubiquity</t>
  </si>
  <si>
    <t>Secale_Whole_grains</t>
  </si>
  <si>
    <t>Secale_Fragments_grains</t>
  </si>
  <si>
    <t>Secale_MNI</t>
  </si>
  <si>
    <t>Secale_Chaff</t>
  </si>
  <si>
    <t>Secale_Samples</t>
  </si>
  <si>
    <t>Secale_Claviceps</t>
  </si>
  <si>
    <t>Secale_Concentrations</t>
  </si>
  <si>
    <t>Secale_Type_product</t>
  </si>
  <si>
    <t>Pisum_Ubiquity</t>
  </si>
  <si>
    <t>Pisum_Whole_grains</t>
  </si>
  <si>
    <t>Pisum_Fragments_grains</t>
  </si>
  <si>
    <t>Pisum_MNI</t>
  </si>
  <si>
    <t>Pisum_Pods</t>
  </si>
  <si>
    <t>Pisum_Samples</t>
  </si>
  <si>
    <t>Pisum_Concentrations</t>
  </si>
  <si>
    <t>Pisum_Type_product</t>
  </si>
  <si>
    <t>Cicer_Ubiquity</t>
  </si>
  <si>
    <t>Cicer_Whole_grains</t>
  </si>
  <si>
    <t>Cicer_Fragments_grains</t>
  </si>
  <si>
    <t>Cicer_MNI</t>
  </si>
  <si>
    <t>Cicer_Pods</t>
  </si>
  <si>
    <t>Cicer_Samples</t>
  </si>
  <si>
    <t>Cicer_Concentrations</t>
  </si>
  <si>
    <t>Cicer_Type_product</t>
  </si>
  <si>
    <t>General_Remarks</t>
  </si>
  <si>
    <t>References</t>
  </si>
  <si>
    <t>Archaeobotanist</t>
  </si>
  <si>
    <t>Montussang 2</t>
  </si>
  <si>
    <t>Aigueperse</t>
  </si>
  <si>
    <t>France</t>
  </si>
  <si>
    <t>Zone 3</t>
  </si>
  <si>
    <t>TPQ</t>
  </si>
  <si>
    <t>BA1</t>
  </si>
  <si>
    <t>Bronze Age</t>
  </si>
  <si>
    <t>Bronze ancien/moyen</t>
  </si>
  <si>
    <t>Rural</t>
  </si>
  <si>
    <t>No</t>
  </si>
  <si>
    <t>Yes</t>
  </si>
  <si>
    <t>Food</t>
  </si>
  <si>
    <t>M. Cabanis</t>
  </si>
  <si>
    <t>Gardon (Grotte du)</t>
  </si>
  <si>
    <t>Ambérieu-en-Bugey</t>
  </si>
  <si>
    <t>Bronze ancien</t>
  </si>
  <si>
    <t>Cave</t>
  </si>
  <si>
    <t>L. Bouby</t>
  </si>
  <si>
    <t>Grandes Croix</t>
  </si>
  <si>
    <t>Beynost</t>
  </si>
  <si>
    <t>Nogeiret</t>
  </si>
  <si>
    <t>Bollène</t>
  </si>
  <si>
    <t>Village</t>
  </si>
  <si>
    <t>R. Pinaud, N. Rovira</t>
  </si>
  <si>
    <t>Baou Roux</t>
  </si>
  <si>
    <t>Bouc bel Air</t>
  </si>
  <si>
    <t>Open-air</t>
  </si>
  <si>
    <t>P. Marinval</t>
  </si>
  <si>
    <t>Derrière-la-Motte 3</t>
  </si>
  <si>
    <t>Bourg-Saint-Maurice</t>
  </si>
  <si>
    <t>L. Martin</t>
  </si>
  <si>
    <t>Horto (L)</t>
  </si>
  <si>
    <t>Caramany</t>
  </si>
  <si>
    <t>DK</t>
  </si>
  <si>
    <t>J. Ros</t>
  </si>
  <si>
    <t>Saint Martin III</t>
  </si>
  <si>
    <t>Chabrillan</t>
  </si>
  <si>
    <t>Pré d'Ancy</t>
  </si>
  <si>
    <t>Chens sur Léman</t>
  </si>
  <si>
    <t>Petit Beaulieu/Puy Long</t>
  </si>
  <si>
    <t>Clermont Ferrand</t>
  </si>
  <si>
    <t>Funerary</t>
  </si>
  <si>
    <t>F. Durand</t>
  </si>
  <si>
    <t>Montou (Grotte de)</t>
  </si>
  <si>
    <t>Corbère-les-Cabanes</t>
  </si>
  <si>
    <t>R. Buxo</t>
  </si>
  <si>
    <t>Plaines (Les)</t>
  </si>
  <si>
    <t>Cournon</t>
  </si>
  <si>
    <t>Machal (Le)</t>
  </si>
  <si>
    <t>Dallet</t>
  </si>
  <si>
    <t>Guilherand-Granges</t>
  </si>
  <si>
    <t>Bronze ancien 1</t>
  </si>
  <si>
    <t>Vignettes (Les)</t>
  </si>
  <si>
    <t>La Plagne</t>
  </si>
  <si>
    <t>OL Land</t>
  </si>
  <si>
    <t>Lyon</t>
  </si>
  <si>
    <t>Périphérique Nord (Boulevard)</t>
  </si>
  <si>
    <t>Cavalade (La)</t>
  </si>
  <si>
    <t>Montpellier</t>
  </si>
  <si>
    <t>Bronze ancien 3</t>
  </si>
  <si>
    <t>Tourteix (Le)</t>
  </si>
  <si>
    <t>Orcet</t>
  </si>
  <si>
    <t>Carrerrassa (La)</t>
  </si>
  <si>
    <t>Perpignan</t>
  </si>
  <si>
    <t>Opme</t>
  </si>
  <si>
    <t>Romagnat</t>
  </si>
  <si>
    <t>Favary</t>
  </si>
  <si>
    <t>Rousset</t>
  </si>
  <si>
    <t>Other</t>
  </si>
  <si>
    <t>Isolated structure</t>
  </si>
  <si>
    <t>Serre 1 (Le)</t>
  </si>
  <si>
    <t>Roynac</t>
  </si>
  <si>
    <t>Balmes (Les)</t>
  </si>
  <si>
    <t>Sollières-Sardières</t>
  </si>
  <si>
    <t>Sheepfold</t>
  </si>
  <si>
    <t>Pirou (Le)</t>
  </si>
  <si>
    <t>Valros</t>
  </si>
  <si>
    <t>O. Rousselet</t>
  </si>
  <si>
    <t>Royale (La)</t>
  </si>
  <si>
    <t>Villardonnel</t>
  </si>
  <si>
    <t>I. Figueiral</t>
  </si>
  <si>
    <t>BA2</t>
  </si>
  <si>
    <t>Bronze moyen1</t>
  </si>
  <si>
    <t>Bronze moyen2</t>
  </si>
  <si>
    <t>Boutheon</t>
  </si>
  <si>
    <t>Andrezieux-Boutheon</t>
  </si>
  <si>
    <t>Bronze moyen</t>
  </si>
  <si>
    <t>Grotte G</t>
  </si>
  <si>
    <t>Baudinard</t>
  </si>
  <si>
    <t>Bronze moyen/Bronze final</t>
  </si>
  <si>
    <t>Bélesta (Grotte de)</t>
  </si>
  <si>
    <t>Bélesta de la Frontière</t>
  </si>
  <si>
    <t>Bronze moyen 2-3</t>
  </si>
  <si>
    <t>Gabache XVI</t>
  </si>
  <si>
    <t>Bram</t>
  </si>
  <si>
    <t>Quinquiris</t>
  </si>
  <si>
    <t>Castelnaudary</t>
  </si>
  <si>
    <t>Buffens (grotte de)</t>
  </si>
  <si>
    <t>Caunes Minervois</t>
  </si>
  <si>
    <t>M. Hopf</t>
  </si>
  <si>
    <t>Piege</t>
  </si>
  <si>
    <t>Chambeon</t>
  </si>
  <si>
    <t>Bronze moyen/final 1</t>
  </si>
  <si>
    <t>Véreître</t>
  </si>
  <si>
    <t>Bronze final 2b</t>
  </si>
  <si>
    <t>Chomette (La)</t>
  </si>
  <si>
    <t>Cournon d'Auvergne</t>
  </si>
  <si>
    <t>Ronzière (La)</t>
  </si>
  <si>
    <t>Feurs</t>
  </si>
  <si>
    <t>Specialized</t>
  </si>
  <si>
    <t>L. Flottes</t>
  </si>
  <si>
    <t>Médiathèque II</t>
  </si>
  <si>
    <t>Grasse</t>
  </si>
  <si>
    <t>Bronze moyen 2</t>
  </si>
  <si>
    <t>C. Hallavant</t>
  </si>
  <si>
    <t>Mourre Barque</t>
  </si>
  <si>
    <t>Jouques</t>
  </si>
  <si>
    <t>Bronze final 3b/Fer 1</t>
  </si>
  <si>
    <t>Lladre (Lo)</t>
  </si>
  <si>
    <t>Llo</t>
  </si>
  <si>
    <t>M.-P. Ruas, L. Bouby</t>
  </si>
  <si>
    <t>Bouquet (Le)</t>
  </si>
  <si>
    <t>Montelimar</t>
  </si>
  <si>
    <t>Bronze final 1/2a</t>
  </si>
  <si>
    <t>Grotte Murée</t>
  </si>
  <si>
    <t>Montpezat</t>
  </si>
  <si>
    <t>Bronze moyen 1</t>
  </si>
  <si>
    <t>F. Erroux</t>
  </si>
  <si>
    <t>Mas de Vignoles 9</t>
  </si>
  <si>
    <t>Nîmes</t>
  </si>
  <si>
    <t>Champ Lamet III</t>
  </si>
  <si>
    <t>Pont du Château</t>
  </si>
  <si>
    <t>Grange Rouge</t>
  </si>
  <si>
    <t>Quincieux</t>
  </si>
  <si>
    <t>Pié Fouquet</t>
  </si>
  <si>
    <t>Rognes</t>
  </si>
  <si>
    <t>G. Daoulas</t>
  </si>
  <si>
    <t>Cazals (Grotte de)</t>
  </si>
  <si>
    <t>Sallèles-Cabardès</t>
  </si>
  <si>
    <t>W. van Zeist</t>
  </si>
  <si>
    <t>Fangade (La)</t>
  </si>
  <si>
    <t>Sète</t>
  </si>
  <si>
    <t>Motte (La)</t>
  </si>
  <si>
    <t>Agde</t>
  </si>
  <si>
    <t>BA3</t>
  </si>
  <si>
    <t>Bronze final 3b</t>
  </si>
  <si>
    <t>Bronze final 3a</t>
  </si>
  <si>
    <t>Bronze final 2</t>
  </si>
  <si>
    <t>Ravaner 1 (Le)</t>
  </si>
  <si>
    <t>Argelès/Mer</t>
  </si>
  <si>
    <t>Camp del Viver</t>
  </si>
  <si>
    <t>Baho</t>
  </si>
  <si>
    <t>Bronze Final 3a</t>
  </si>
  <si>
    <t>Bauduen (Grotte de)</t>
  </si>
  <si>
    <t>Bauduen</t>
  </si>
  <si>
    <t>Bronze final</t>
  </si>
  <si>
    <t>Bronze final 2/3</t>
  </si>
  <si>
    <t>Petit Garlambaud</t>
  </si>
  <si>
    <t>Béziers</t>
  </si>
  <si>
    <t>Bronze final 1/2</t>
  </si>
  <si>
    <t>Grésine Est</t>
  </si>
  <si>
    <t>Brison-Saint-Innocent</t>
  </si>
  <si>
    <t>Grésine Ouest</t>
  </si>
  <si>
    <t>Carsac</t>
  </si>
  <si>
    <t>Carcassonne</t>
  </si>
  <si>
    <t>Bronze final 3</t>
  </si>
  <si>
    <t>Farigoule (La)</t>
  </si>
  <si>
    <t>Castelnau-le-Lez</t>
  </si>
  <si>
    <t>Gravette (La)</t>
  </si>
  <si>
    <t>Cavanac</t>
  </si>
  <si>
    <t>Balme Gontran</t>
  </si>
  <si>
    <t>Chaley</t>
  </si>
  <si>
    <t>Bronze final 2b/3a</t>
  </si>
  <si>
    <t>Charnage (Rue de)</t>
  </si>
  <si>
    <t>Bronze final 2a</t>
  </si>
  <si>
    <t>Châtillon</t>
  </si>
  <si>
    <t>Chindrieux</t>
  </si>
  <si>
    <t>Jacquot</t>
  </si>
  <si>
    <t>Baume des Anges</t>
  </si>
  <si>
    <t>Donzère</t>
  </si>
  <si>
    <t>Plafète</t>
  </si>
  <si>
    <t>Epagny</t>
  </si>
  <si>
    <t>Menhir (Le)</t>
  </si>
  <si>
    <t>Eyne</t>
  </si>
  <si>
    <t>L. Bouby, M.-P. Ruas</t>
  </si>
  <si>
    <t>Laouret (Le)</t>
  </si>
  <si>
    <t>Floure</t>
  </si>
  <si>
    <t>Port Ariane</t>
  </si>
  <si>
    <t>Lattes</t>
  </si>
  <si>
    <t>N. Alonso, R. Buxo, N. Rovira</t>
  </si>
  <si>
    <t>Storage</t>
  </si>
  <si>
    <t>Touar (Le)</t>
  </si>
  <si>
    <t>Les Arcs sur Argens</t>
  </si>
  <si>
    <t>Berthet 2</t>
  </si>
  <si>
    <t>Bronze final 1</t>
  </si>
  <si>
    <t>Conque (La)</t>
  </si>
  <si>
    <t>Mèze</t>
  </si>
  <si>
    <t>Pré de la Cour (Le)</t>
  </si>
  <si>
    <t>Montagnieu</t>
  </si>
  <si>
    <t>Prevel Superieur</t>
  </si>
  <si>
    <t>Montclus</t>
  </si>
  <si>
    <t>Specialized (sheepfold?)</t>
  </si>
  <si>
    <t>Portes de Provence</t>
  </si>
  <si>
    <t>Devezes (Les)</t>
  </si>
  <si>
    <t>Montesquieu</t>
  </si>
  <si>
    <t>R. Pinaud</t>
  </si>
  <si>
    <t>Garenne (La)</t>
  </si>
  <si>
    <t>Penne</t>
  </si>
  <si>
    <t>Cordouls (Les)</t>
  </si>
  <si>
    <t>Puylaurens</t>
  </si>
  <si>
    <t>Moulin d'eau</t>
  </si>
  <si>
    <t>Riom</t>
  </si>
  <si>
    <t>Abri St Etienne</t>
  </si>
  <si>
    <t>Saint Etienne de Gourgas</t>
  </si>
  <si>
    <t>Marduel</t>
  </si>
  <si>
    <t>Saint-Bonnet-du-Gard</t>
  </si>
  <si>
    <t>Gandus (Les)</t>
  </si>
  <si>
    <t>Saint-Ferreol-Trente-Pas</t>
  </si>
  <si>
    <t>F. Erroux, P. Marinval</t>
  </si>
  <si>
    <t>Saint-Marcel (Gte)</t>
  </si>
  <si>
    <t>Saint-Marcel-d'Ardèche</t>
  </si>
  <si>
    <t>Feuilly (ZAC des)</t>
  </si>
  <si>
    <t>Saint-Priest</t>
  </si>
  <si>
    <t>Fourches (Aven)</t>
  </si>
  <si>
    <t>Sault</t>
  </si>
  <si>
    <t>Knecht</t>
  </si>
  <si>
    <t>Périaz (La)</t>
  </si>
  <si>
    <t>Seynod</t>
  </si>
  <si>
    <t>Vieux Mounoï</t>
  </si>
  <si>
    <t>Signes</t>
  </si>
  <si>
    <t>Brégoule</t>
  </si>
  <si>
    <t>Soyons</t>
  </si>
  <si>
    <t>Hasard (Grotte du)</t>
  </si>
  <si>
    <t>Tharaux</t>
  </si>
  <si>
    <t>Baume Layrou</t>
  </si>
  <si>
    <t>Trèves</t>
  </si>
  <si>
    <t>Bronze Final 2b</t>
  </si>
  <si>
    <t>Baou des Noirs</t>
  </si>
  <si>
    <t>Vence</t>
  </si>
  <si>
    <t>Portal Vielh</t>
  </si>
  <si>
    <t>Vendres</t>
  </si>
  <si>
    <t>Roussille (La)</t>
  </si>
  <si>
    <t>Vertaizon</t>
  </si>
  <si>
    <t>Corent</t>
  </si>
  <si>
    <t>Veyre-Monton</t>
  </si>
  <si>
    <t>Acropole (Rue)</t>
  </si>
  <si>
    <t>Villeneuve-lès-Béziers</t>
  </si>
  <si>
    <t>Bronze Final 2b/3a</t>
  </si>
  <si>
    <t>IA1</t>
  </si>
  <si>
    <t>Iron Age</t>
  </si>
  <si>
    <t>Hallstatt D3</t>
  </si>
  <si>
    <t>Grande Borne (La)</t>
  </si>
  <si>
    <t>Aulnat</t>
  </si>
  <si>
    <t>Fer  1 ancien</t>
  </si>
  <si>
    <t>Murphy</t>
  </si>
  <si>
    <t>Fer 1</t>
  </si>
  <si>
    <t>Monédière (La)</t>
  </si>
  <si>
    <t>Bessan</t>
  </si>
  <si>
    <t>Fer 1 récent</t>
  </si>
  <si>
    <t>Brochalin (En)</t>
  </si>
  <si>
    <t>Hallstatt C</t>
  </si>
  <si>
    <t>Saint-Jean (Place de la)</t>
  </si>
  <si>
    <t>Le Cailar</t>
  </si>
  <si>
    <t>Trans Fer 1/2</t>
  </si>
  <si>
    <t>Liquière (La)</t>
  </si>
  <si>
    <t>Calvisson</t>
  </si>
  <si>
    <t>Christol 3</t>
  </si>
  <si>
    <t>C. Schaal</t>
  </si>
  <si>
    <t>Grèzes</t>
  </si>
  <si>
    <t>Specialized site</t>
  </si>
  <si>
    <t>Gémeaux (Rue des)</t>
  </si>
  <si>
    <t>Joncasses (Les)</t>
  </si>
  <si>
    <t>Cournonterral</t>
  </si>
  <si>
    <t>Fer 1 ancien</t>
  </si>
  <si>
    <t>Bourbousson 1</t>
  </si>
  <si>
    <t>Crest</t>
  </si>
  <si>
    <t>Gach</t>
  </si>
  <si>
    <t>Cruzy</t>
  </si>
  <si>
    <t>Garaffes (Les)</t>
  </si>
  <si>
    <t>Elne</t>
  </si>
  <si>
    <t>ZAC du Champ du Perrier</t>
  </si>
  <si>
    <t>Fareins</t>
  </si>
  <si>
    <t>Mont Joui</t>
  </si>
  <si>
    <t>Florensac</t>
  </si>
  <si>
    <t>Plan de la Tour</t>
  </si>
  <si>
    <t>Gailhan</t>
  </si>
  <si>
    <t>Montjean</t>
  </si>
  <si>
    <t>Gassin-la-Môle</t>
  </si>
  <si>
    <t>Gardi (La)</t>
  </si>
  <si>
    <t>Goult</t>
  </si>
  <si>
    <t>Bayard Nord</t>
  </si>
  <si>
    <t>Fer 1 final</t>
  </si>
  <si>
    <t>Croisières (Les)</t>
  </si>
  <si>
    <t>Coumo dal Cat</t>
  </si>
  <si>
    <t>Ladern-sur-Lauquet</t>
  </si>
  <si>
    <t>M. Hopf, L. Bouby</t>
  </si>
  <si>
    <t>Cougourlude</t>
  </si>
  <si>
    <t>I. Figueiral, L. Bouby</t>
  </si>
  <si>
    <t>Mas de Causse</t>
  </si>
  <si>
    <t>N. Rovira</t>
  </si>
  <si>
    <t>Pla de Molas</t>
  </si>
  <si>
    <t>Le Boulou</t>
  </si>
  <si>
    <t>Revaute (La)</t>
  </si>
  <si>
    <t>Lempdes sur Alagnon</t>
  </si>
  <si>
    <t>Saint Marcel (Oppidum)</t>
  </si>
  <si>
    <t>Le-Pègue</t>
  </si>
  <si>
    <t>Berthet 1</t>
  </si>
  <si>
    <t>Gorge de Loup</t>
  </si>
  <si>
    <t>Montfau</t>
  </si>
  <si>
    <t>Magalas</t>
  </si>
  <si>
    <t>Champ Gaillard</t>
  </si>
  <si>
    <t>Malintrat</t>
  </si>
  <si>
    <t>Hallstatt C-D</t>
  </si>
  <si>
    <t>Tamaris</t>
  </si>
  <si>
    <t>Martigues</t>
  </si>
  <si>
    <t>Fer 1 recent</t>
  </si>
  <si>
    <t>Vallon du Fou</t>
  </si>
  <si>
    <t>Brassières Sud</t>
  </si>
  <si>
    <t>Mondragon</t>
  </si>
  <si>
    <t>Roche noire (La)</t>
  </si>
  <si>
    <t>J. Wiethold</t>
  </si>
  <si>
    <t>Carbinié</t>
  </si>
  <si>
    <t>Montans</t>
  </si>
  <si>
    <t>Rouget (Le)</t>
  </si>
  <si>
    <t>Hallstatt C2</t>
  </si>
  <si>
    <t>Jouffe (La)</t>
  </si>
  <si>
    <t>Montmirat</t>
  </si>
  <si>
    <t>Lycée Technique</t>
  </si>
  <si>
    <t>Mas de Vignoles 10</t>
  </si>
  <si>
    <t>Mas des Abeilles 2</t>
  </si>
  <si>
    <t>Vergers (Rue des)</t>
  </si>
  <si>
    <t>Pailletrice 2 (La)</t>
  </si>
  <si>
    <t>Pérols</t>
  </si>
  <si>
    <t>Ruscino</t>
  </si>
  <si>
    <t>Plaine (La)</t>
  </si>
  <si>
    <t>Hallstatt D</t>
  </si>
  <si>
    <t>Puech de Mus</t>
  </si>
  <si>
    <t>Sainte-Eulalie-de-Cernon</t>
  </si>
  <si>
    <t>Peigros</t>
  </si>
  <si>
    <t>Saint-Maxime</t>
  </si>
  <si>
    <t>Port (Le)</t>
  </si>
  <si>
    <t>Salses-le-Château</t>
  </si>
  <si>
    <t>M. Català</t>
  </si>
  <si>
    <t>Pech Maho</t>
  </si>
  <si>
    <t>Sigean</t>
  </si>
  <si>
    <t>N. Alonso, N. Rovira</t>
  </si>
  <si>
    <t>Mourre de Sève</t>
  </si>
  <si>
    <t>Sorgues</t>
  </si>
  <si>
    <t>St Etienne de Dions</t>
  </si>
  <si>
    <t>St Marcel d'Ardèche</t>
  </si>
  <si>
    <t>Trans Fer1/2</t>
  </si>
  <si>
    <t>Sables (Les)</t>
  </si>
  <si>
    <t>Théziers</t>
  </si>
  <si>
    <t>Garennes (Les)</t>
  </si>
  <si>
    <t>Tourbes</t>
  </si>
  <si>
    <t>Pontiar (Grotte du)</t>
  </si>
  <si>
    <t>Vallon Pont d'Arc</t>
  </si>
  <si>
    <t>Condamine 7</t>
  </si>
  <si>
    <t>Vauvert</t>
  </si>
  <si>
    <t>Arriasse (L')</t>
  </si>
  <si>
    <t>Vic-le-Fesq</t>
  </si>
  <si>
    <t>Escarpes 2</t>
  </si>
  <si>
    <t>Rom1</t>
  </si>
  <si>
    <t>Roman era</t>
  </si>
  <si>
    <t>HtEmp</t>
  </si>
  <si>
    <t>Bouby 2014</t>
  </si>
  <si>
    <t>Alba-la-Romaine</t>
  </si>
  <si>
    <t>Marinval 1993</t>
  </si>
  <si>
    <t>Arles-Rhône 3</t>
  </si>
  <si>
    <t>Arles</t>
  </si>
  <si>
    <t>Urban</t>
  </si>
  <si>
    <t>Port</t>
  </si>
  <si>
    <t>Bouby unpublished ; Tillier 2023</t>
  </si>
  <si>
    <t>L. Bouby, M. Tillier</t>
  </si>
  <si>
    <t>Arles-Rhône 5</t>
  </si>
  <si>
    <t>Marlier et al. 2021; Tillier 2023</t>
  </si>
  <si>
    <t>M. Tillier</t>
  </si>
  <si>
    <t>Calade (Rue de la)</t>
  </si>
  <si>
    <t>Ritual</t>
  </si>
  <si>
    <t>Oven</t>
  </si>
  <si>
    <t>Ariza 2014</t>
  </si>
  <si>
    <t>M. A. Ariza</t>
  </si>
  <si>
    <t>Saint Bézard</t>
  </si>
  <si>
    <t>Aspiran</t>
  </si>
  <si>
    <t>Mauné et al. 2013</t>
  </si>
  <si>
    <t>Mas de Tourelles</t>
  </si>
  <si>
    <t>Beaucaire</t>
  </si>
  <si>
    <t>Gomes 2021</t>
  </si>
  <si>
    <t>J. Gomes</t>
  </si>
  <si>
    <t>Garanne (La)</t>
  </si>
  <si>
    <t>Berre-l'Etang</t>
  </si>
  <si>
    <t>Rovira unpublished</t>
  </si>
  <si>
    <t>Gasquinoy</t>
  </si>
  <si>
    <t>Well</t>
  </si>
  <si>
    <t>Figueiral et al. 2010a</t>
  </si>
  <si>
    <t>L. Bouby, I. Figueiral</t>
  </si>
  <si>
    <t>Flottes unpublished</t>
  </si>
  <si>
    <t>Magasins (Les)</t>
  </si>
  <si>
    <t>TRep</t>
  </si>
  <si>
    <t>Calade (La)</t>
  </si>
  <si>
    <t>Cabasse</t>
  </si>
  <si>
    <t>Guérine (La)</t>
  </si>
  <si>
    <t>Puig del Baja</t>
  </si>
  <si>
    <t>Canet-en-Roussillon</t>
  </si>
  <si>
    <t>Ros 2020</t>
  </si>
  <si>
    <t>Horto (L')</t>
  </si>
  <si>
    <t>Ros unpublished</t>
  </si>
  <si>
    <t xml:space="preserve">Pla de l'Aïgo </t>
  </si>
  <si>
    <t>Mont Redon</t>
  </si>
  <si>
    <t>Figueiral unpublished</t>
  </si>
  <si>
    <t>Gramière (La)</t>
  </si>
  <si>
    <t>Castillon-du-Gard</t>
  </si>
  <si>
    <t>Buffat et al. 2009</t>
  </si>
  <si>
    <t>Vergers (Les)</t>
  </si>
  <si>
    <t>Cavaillon</t>
  </si>
  <si>
    <t>Offsite</t>
  </si>
  <si>
    <t>Pinaud unpublished</t>
  </si>
  <si>
    <t>Tumbas (Les)</t>
  </si>
  <si>
    <t>Céret</t>
  </si>
  <si>
    <t>Sant Jaume del Crest</t>
  </si>
  <si>
    <t>Claira</t>
  </si>
  <si>
    <t>Ros et Ruas 2017</t>
  </si>
  <si>
    <t>Bourbousson 3</t>
  </si>
  <si>
    <t>Maison Philippon</t>
  </si>
  <si>
    <t>Camelin (Le)</t>
  </si>
  <si>
    <t>Fréjus</t>
  </si>
  <si>
    <t>Tillier 2023</t>
  </si>
  <si>
    <t>Pauvadou</t>
  </si>
  <si>
    <t>Saint Lambert</t>
  </si>
  <si>
    <t>Thermes de Villeneuve</t>
  </si>
  <si>
    <t>Bouby et al. 2011</t>
  </si>
  <si>
    <t>L. Bouby, I. Figueiral, C. Schaal</t>
  </si>
  <si>
    <t>Cariaux</t>
  </si>
  <si>
    <t>Frontonas</t>
  </si>
  <si>
    <t>ZAC de Sagnon</t>
  </si>
  <si>
    <t>Graveson</t>
  </si>
  <si>
    <t>Saint-Martin-le-Bas</t>
  </si>
  <si>
    <t>Gruissan</t>
  </si>
  <si>
    <t>Partegal (Rue du)</t>
  </si>
  <si>
    <t>La Farlède</t>
  </si>
  <si>
    <t>Grande Chaberte (La)</t>
  </si>
  <si>
    <t>La Garde</t>
  </si>
  <si>
    <t>Girardes (Les)</t>
  </si>
  <si>
    <t>Lapalud</t>
  </si>
  <si>
    <t>Weed</t>
  </si>
  <si>
    <t>Castelle et Fromigue</t>
  </si>
  <si>
    <t>Castelle GR</t>
  </si>
  <si>
    <t>Castelle-Pahon-Pinède</t>
  </si>
  <si>
    <t>Lattara/Lattes Saint-Sauveur</t>
  </si>
  <si>
    <t>Food/Fodder</t>
  </si>
  <si>
    <t>Buxó 1992, 2005 ; Steiner et al. 2020; Tillier 2023 ;  Rovira et al. unpublished</t>
  </si>
  <si>
    <t>R. Buxó, E. Delbois, N. Rovira, B.L. Steiner, M. Tillier</t>
  </si>
  <si>
    <t>Foundation offering in a warehouse</t>
  </si>
  <si>
    <t>Rovira et Chabal 2008</t>
  </si>
  <si>
    <t>Peri-urban</t>
  </si>
  <si>
    <t>Camp de la Torre</t>
  </si>
  <si>
    <t>Le Perthus</t>
  </si>
  <si>
    <t>Vayssière</t>
  </si>
  <si>
    <t>L'Hospitalet-du-Larzac</t>
  </si>
  <si>
    <t>BMVR</t>
  </si>
  <si>
    <t>Marseille</t>
  </si>
  <si>
    <t>Jules Verne 10</t>
  </si>
  <si>
    <t>Font de Mauguio</t>
  </si>
  <si>
    <t>Mauguio</t>
  </si>
  <si>
    <t>Moulin à Vent (Le)</t>
  </si>
  <si>
    <t>Brassières Nord</t>
  </si>
  <si>
    <t>Reille (La)</t>
  </si>
  <si>
    <t>Montbazin</t>
  </si>
  <si>
    <t>Beaulieu</t>
  </si>
  <si>
    <t>Monteux</t>
  </si>
  <si>
    <t>Buffat et al. 2011</t>
  </si>
  <si>
    <t>Capelles (Lac de)</t>
  </si>
  <si>
    <t>Narbonne</t>
  </si>
  <si>
    <t>fishpond of a villa (maybe belonging to emperor Augustus)</t>
  </si>
  <si>
    <t>Castelou/Mandirac</t>
  </si>
  <si>
    <t>43.122392</t>
  </si>
  <si>
    <t>3.030886</t>
  </si>
  <si>
    <t>Clos de la Lombarde</t>
  </si>
  <si>
    <t>Well belonging to a prestigious domus</t>
  </si>
  <si>
    <t>Rovira 2015</t>
  </si>
  <si>
    <t>Port-la-Nautique</t>
  </si>
  <si>
    <t>Embournière</t>
  </si>
  <si>
    <t>Neffiés</t>
  </si>
  <si>
    <t>54 route de Beaucaire</t>
  </si>
  <si>
    <t>Bouchette unpublished</t>
  </si>
  <si>
    <t>A. Bouchette</t>
  </si>
  <si>
    <t>Assas (Place d')</t>
  </si>
  <si>
    <t>Bouchette et al. 2017</t>
  </si>
  <si>
    <t>Georges Besse 2</t>
  </si>
  <si>
    <t>Basin</t>
  </si>
  <si>
    <t>Jean Jaurès (Allée)</t>
  </si>
  <si>
    <t>Jean Jaurès (Avenue)</t>
  </si>
  <si>
    <t>Jean Jaurès (Parking)</t>
  </si>
  <si>
    <t>Mas de Vigier</t>
  </si>
  <si>
    <t>Mas de Vignoles 13</t>
  </si>
  <si>
    <t>Figueiral et Séjalon 2017</t>
  </si>
  <si>
    <t>Enserune</t>
  </si>
  <si>
    <t>Nissan-lès-Enserune</t>
  </si>
  <si>
    <t>Closeraie (La)</t>
  </si>
  <si>
    <t>Orange</t>
  </si>
  <si>
    <t>Rovira unpublished; Delbois 2016</t>
  </si>
  <si>
    <t>N. Rovira, E. Delbois</t>
  </si>
  <si>
    <t>Saint-Jean</t>
  </si>
  <si>
    <t>Peixora</t>
  </si>
  <si>
    <t>Mas Coste</t>
  </si>
  <si>
    <t>Mas de la Madeleine I</t>
  </si>
  <si>
    <t>Ros unpublished ; Ros et Ruas 2017</t>
  </si>
  <si>
    <t>Mas Delfau</t>
  </si>
  <si>
    <t>Ros et Ruas 2017 ; Ros 2020</t>
  </si>
  <si>
    <t>Mas Sauvy</t>
  </si>
  <si>
    <t xml:space="preserve">Petit Clos I </t>
  </si>
  <si>
    <t>Roumèges - ZAE Les Clachs</t>
  </si>
  <si>
    <t>Poussan</t>
  </si>
  <si>
    <t>Rue de la Basse</t>
  </si>
  <si>
    <t xml:space="preserve">Prades </t>
  </si>
  <si>
    <t>Toulons (Les)</t>
  </si>
  <si>
    <t>Rians</t>
  </si>
  <si>
    <t>Valladas (Le)</t>
  </si>
  <si>
    <t>Saint-Paul-Trois-Châteaux</t>
  </si>
  <si>
    <t>Saint Romain de Jalionas -T57</t>
  </si>
  <si>
    <t>Saint-Romain-de-Jalionas</t>
  </si>
  <si>
    <t>Communaux de Sartine (Les)</t>
  </si>
  <si>
    <t>Saint-Savin</t>
  </si>
  <si>
    <t>Aumignanes</t>
  </si>
  <si>
    <t>Saint-Victor-la-Coste</t>
  </si>
  <si>
    <t>Lesse (La)</t>
  </si>
  <si>
    <t>Sauvian</t>
  </si>
  <si>
    <t>Figueiral et al. 2015</t>
  </si>
  <si>
    <t>Sauzet/A7-Section 2</t>
  </si>
  <si>
    <t>Sauzet</t>
  </si>
  <si>
    <t>Cadenet</t>
  </si>
  <si>
    <t>Sernhac</t>
  </si>
  <si>
    <t>Mas Roig</t>
  </si>
  <si>
    <t>Théza</t>
  </si>
  <si>
    <t>Riaux (Les)</t>
  </si>
  <si>
    <t>Toulon</t>
  </si>
  <si>
    <t>Chemin de Mirabel</t>
  </si>
  <si>
    <t>Vaison-la-Romaine</t>
  </si>
  <si>
    <t>Bouby unpublished</t>
  </si>
  <si>
    <t>Lautagne</t>
  </si>
  <si>
    <t>Valence</t>
  </si>
  <si>
    <t>Military</t>
  </si>
  <si>
    <t>Rec de Ligno</t>
  </si>
  <si>
    <t>Figueiral et al. 2010b</t>
  </si>
  <si>
    <t>Renaussas (Le)</t>
  </si>
  <si>
    <t>Plas (Les)</t>
  </si>
  <si>
    <t>Villelongue-d'Aude</t>
  </si>
  <si>
    <t>Ambrussum</t>
  </si>
  <si>
    <t>Villetelle</t>
  </si>
  <si>
    <t>Rovira 2012</t>
  </si>
  <si>
    <t>Fiches et al. 2007</t>
  </si>
  <si>
    <t>Rom2</t>
  </si>
  <si>
    <t>BsEmp</t>
  </si>
  <si>
    <t>Saint-Gilles-le-Vieux</t>
  </si>
  <si>
    <t>Aimargues</t>
  </si>
  <si>
    <t>Pré-aux-Pêcheurs</t>
  </si>
  <si>
    <t>Antibes</t>
  </si>
  <si>
    <t>Figueiral et Tillier unpublished ; Tillier 2023</t>
  </si>
  <si>
    <t>I. Figueiral, M. Tillier</t>
  </si>
  <si>
    <t>Coudoumines 541 (Les)</t>
  </si>
  <si>
    <t>Terrofort 268</t>
  </si>
  <si>
    <t>Roquette (La)</t>
  </si>
  <si>
    <t>Cavillargues</t>
  </si>
  <si>
    <t>Bente Farine</t>
  </si>
  <si>
    <t>Château Royal</t>
  </si>
  <si>
    <t>Collioure</t>
  </si>
  <si>
    <t>Atard</t>
  </si>
  <si>
    <t>Aspra del Paradis</t>
  </si>
  <si>
    <t>Corneilla-del-Vercol</t>
  </si>
  <si>
    <t>L. Bouby, J. Ros</t>
  </si>
  <si>
    <t>Planiol (Le)</t>
  </si>
  <si>
    <t>Bourbou (Le)</t>
  </si>
  <si>
    <t>Loupian</t>
  </si>
  <si>
    <t>Prés-Bas (Le)</t>
  </si>
  <si>
    <t>Terrasses de Montfau</t>
  </si>
  <si>
    <t>Careiron et Pesquier</t>
  </si>
  <si>
    <t>Milhaud</t>
  </si>
  <si>
    <t>Médor</t>
  </si>
  <si>
    <t>Ornaisons</t>
  </si>
  <si>
    <t>Ruas 1989a</t>
  </si>
  <si>
    <t>M.-P. Ruas</t>
  </si>
  <si>
    <t>Maison Felip 17</t>
  </si>
  <si>
    <t>Jurièires Basses</t>
  </si>
  <si>
    <t>Puissalicon</t>
  </si>
  <si>
    <t>Mauné et al. 1998</t>
  </si>
  <si>
    <t>Maladrerie/Lot. du Grand Chêne</t>
  </si>
  <si>
    <t>Saillans</t>
  </si>
  <si>
    <t>Le Roy et al. 2011</t>
  </si>
  <si>
    <t>Saint Romain de Jalionas</t>
  </si>
  <si>
    <t>Ruas 1989b ; Rovira 2012</t>
  </si>
  <si>
    <t>M.-P. Ruas, N. Rovira</t>
  </si>
  <si>
    <t>Cova de les Cendres VII</t>
  </si>
  <si>
    <t>Teulada-Moraira</t>
  </si>
  <si>
    <t>Spain</t>
  </si>
  <si>
    <t>Neo1</t>
  </si>
  <si>
    <t>Neolithic</t>
  </si>
  <si>
    <t>Cardial</t>
  </si>
  <si>
    <t>Pérez-Jordà 2013</t>
  </si>
  <si>
    <t>G. Pérez-Jordà</t>
  </si>
  <si>
    <t>Cova de les Cendres VI</t>
  </si>
  <si>
    <t>Epicardial</t>
  </si>
  <si>
    <t>Cova de l'Or VI</t>
  </si>
  <si>
    <t>Beniarrés</t>
  </si>
  <si>
    <t>Cova de l'Or V</t>
  </si>
  <si>
    <t>Cova de l'Or IV</t>
  </si>
  <si>
    <t>El Abric de la Falguera VI</t>
  </si>
  <si>
    <t>Alcoi</t>
  </si>
  <si>
    <t>Mas d'Is VI</t>
  </si>
  <si>
    <t>Penàguila</t>
  </si>
  <si>
    <t>Cova d'En Pardo VIII</t>
  </si>
  <si>
    <t>Planes</t>
  </si>
  <si>
    <t>Cova d'En Pardo VII</t>
  </si>
  <si>
    <t>Cova de les Cendres V</t>
  </si>
  <si>
    <t>Neo2</t>
  </si>
  <si>
    <t>Cova d'En Pardo VI</t>
  </si>
  <si>
    <t>Cova d'En Pardo V</t>
  </si>
  <si>
    <t>Tossal de les Basses</t>
  </si>
  <si>
    <t>Alacant</t>
  </si>
  <si>
    <t>Botx</t>
  </si>
  <si>
    <t>Crevillent</t>
  </si>
  <si>
    <t>Pérez Jordà 2013</t>
  </si>
  <si>
    <t>G. Pérez Jordà</t>
  </si>
  <si>
    <t>Ca n'Oliver</t>
  </si>
  <si>
    <t>Cerdanyola, Barcelona</t>
  </si>
  <si>
    <t>IA2</t>
  </si>
  <si>
    <t>Alonso 2008</t>
  </si>
  <si>
    <t>N. Alonso</t>
  </si>
  <si>
    <t>Cabezo Redondo</t>
  </si>
  <si>
    <t>Villena</t>
  </si>
  <si>
    <t>Can Xercavins</t>
  </si>
  <si>
    <t>Castillo de Doña Blanca, Cadiz</t>
  </si>
  <si>
    <t>Puerto de Santa Maria</t>
  </si>
  <si>
    <t>Chamorro 1994</t>
  </si>
  <si>
    <t>J. Chamorro</t>
  </si>
  <si>
    <t>El Argar</t>
  </si>
  <si>
    <t>Antas</t>
  </si>
  <si>
    <t>Stika &amp; Jurich 1998</t>
  </si>
  <si>
    <t>H.-P. Stika</t>
  </si>
  <si>
    <t>El Puig</t>
  </si>
  <si>
    <t>Pérez Jordà et al. 2013</t>
  </si>
  <si>
    <t>El Turó del Montgròs</t>
  </si>
  <si>
    <t>El Brull</t>
  </si>
  <si>
    <t>López unpublished</t>
  </si>
  <si>
    <t>D. López Reyes</t>
  </si>
  <si>
    <t>Fuente álamo</t>
  </si>
  <si>
    <t>Cuevas de Almanzora</t>
  </si>
  <si>
    <t>Stika 2000</t>
  </si>
  <si>
    <t>Institut de Batxillerat Antoni Pous</t>
  </si>
  <si>
    <t>Manlleu, Barcelona</t>
  </si>
  <si>
    <t>Buxó 1997</t>
  </si>
  <si>
    <t>R. Buxó</t>
  </si>
  <si>
    <t>La Fonteta/Rábita</t>
  </si>
  <si>
    <t>Guadamar del Segura</t>
  </si>
  <si>
    <t>La Mola d’Agres</t>
  </si>
  <si>
    <t>Agres</t>
  </si>
  <si>
    <t>Neo3</t>
  </si>
  <si>
    <t>Les Maleses</t>
  </si>
  <si>
    <t>Montcada i Reixac</t>
  </si>
  <si>
    <t>López 2006</t>
  </si>
  <si>
    <t>Les Moreres</t>
  </si>
  <si>
    <t>Mas Pujó</t>
  </si>
  <si>
    <t>Vilafranca</t>
  </si>
  <si>
    <t>Medicina</t>
  </si>
  <si>
    <t>Cerdanyola</t>
  </si>
  <si>
    <t>Olerdola</t>
  </si>
  <si>
    <t>Olerdula</t>
  </si>
  <si>
    <t>Alonso &amp; Canal 2008</t>
  </si>
  <si>
    <t>N. Alonso, D. Canal</t>
  </si>
  <si>
    <t>Plana del Castell</t>
  </si>
  <si>
    <t>López &amp; Tarongi unpublished</t>
  </si>
  <si>
    <t>D. López Reyes, M. Tarongi</t>
  </si>
  <si>
    <t>Santa Maria dels Horts</t>
  </si>
  <si>
    <t>Rovira &amp;López unpublished</t>
  </si>
  <si>
    <t>D. López Reyes, N. Rovira</t>
  </si>
  <si>
    <t>Silos UAB</t>
  </si>
  <si>
    <r>
      <t>Bux</t>
    </r>
    <r>
      <rPr>
        <sz val="11"/>
        <color theme="1"/>
        <rFont val="Calibri"/>
        <family val="2"/>
        <scheme val="minor"/>
      </rPr>
      <t>ó &amp; Alonso, 1991</t>
    </r>
  </si>
  <si>
    <t>R. Buxó, N. Alonso</t>
  </si>
  <si>
    <t>Terlinques</t>
  </si>
  <si>
    <t>Torre Roja</t>
  </si>
  <si>
    <t>Caldes de Montbui</t>
  </si>
  <si>
    <t>Alicante</t>
  </si>
  <si>
    <t>Xalet Nin-Darró</t>
  </si>
  <si>
    <t>Vilanova i la Geltrú</t>
  </si>
  <si>
    <t>Lopez unpublished</t>
  </si>
  <si>
    <t>Acinipo</t>
  </si>
  <si>
    <t>Ronda</t>
  </si>
  <si>
    <t>Alt de Benimaquia</t>
  </si>
  <si>
    <t>Denia</t>
  </si>
  <si>
    <t>Pérez Jordá 2013</t>
  </si>
  <si>
    <t>G. Pérez Jordá</t>
  </si>
  <si>
    <t>Ampúrias</t>
  </si>
  <si>
    <t>L'Escala</t>
  </si>
  <si>
    <t>Buxo 1989, Pinaud 2021</t>
  </si>
  <si>
    <t>R. Buxó, R. Pinaud</t>
  </si>
  <si>
    <t>Arenal de la Costa</t>
  </si>
  <si>
    <t>Ontinyent</t>
  </si>
  <si>
    <t>Buxó 1993, Pérez Jordà 2007</t>
  </si>
  <si>
    <t>R. Buxó, G. Pérez Jordà</t>
  </si>
  <si>
    <t>Barranc de Beniteixir</t>
  </si>
  <si>
    <t>Piles</t>
  </si>
  <si>
    <t>Barranc Gàfols</t>
  </si>
  <si>
    <t>Ginestar</t>
  </si>
  <si>
    <t>Cubero 1998</t>
  </si>
  <si>
    <t>C. Cubero</t>
  </si>
  <si>
    <t>Bòbila Madurell</t>
  </si>
  <si>
    <t>Sant Quirze del Vallés</t>
  </si>
  <si>
    <t>Buxó 1997, Antolín 2013</t>
  </si>
  <si>
    <t>R. Buxó, F. Antolín</t>
  </si>
  <si>
    <t>Bordissal</t>
  </si>
  <si>
    <t>Camarles</t>
  </si>
  <si>
    <t>Callejón del Gallo</t>
  </si>
  <si>
    <t>Granada</t>
  </si>
  <si>
    <t>Canal &amp; Rovira 2001</t>
  </si>
  <si>
    <t>D. Canal, N. Rovira</t>
  </si>
  <si>
    <t>Calvari del Molar</t>
  </si>
  <si>
    <t>Molar</t>
  </si>
  <si>
    <t>Camp de Can Massot</t>
  </si>
  <si>
    <t>Fornells de la Selva</t>
  </si>
  <si>
    <t>Camps de l’Hospital</t>
  </si>
  <si>
    <t>Vilademuls</t>
  </si>
  <si>
    <t>Can Gambús 2</t>
  </si>
  <si>
    <t>Sabadell</t>
  </si>
  <si>
    <t>Can Roqueta</t>
  </si>
  <si>
    <t>Rovira &amp; Buxó 1999</t>
  </si>
  <si>
    <t>N. Rovira, R. Buxó</t>
  </si>
  <si>
    <t>Castellet Bernabé</t>
  </si>
  <si>
    <t>Llíria</t>
  </si>
  <si>
    <t>Pérez Jordá 2003, 2013</t>
  </si>
  <si>
    <t>Castellet de Banyoles</t>
  </si>
  <si>
    <t>Tivissa</t>
  </si>
  <si>
    <t>López et al. 2011</t>
  </si>
  <si>
    <t>Castellón Alto</t>
  </si>
  <si>
    <t>Galera</t>
  </si>
  <si>
    <t>Rovira 2007</t>
  </si>
  <si>
    <t>Castellot de  la Roca Roja</t>
  </si>
  <si>
    <t>Benifallet</t>
  </si>
  <si>
    <t>Castillarejo de los Moros</t>
  </si>
  <si>
    <t>Andilla</t>
  </si>
  <si>
    <t>Cerro de la Cruz</t>
  </si>
  <si>
    <t>Almendinilla</t>
  </si>
  <si>
    <t>Arnanz 2000</t>
  </si>
  <si>
    <t>A. Arnanz</t>
  </si>
  <si>
    <t>Cerro de la Virgen</t>
  </si>
  <si>
    <t>Orce</t>
  </si>
  <si>
    <t>R. Buxò</t>
  </si>
  <si>
    <t>Cerro de las Viñas</t>
  </si>
  <si>
    <t>Coy</t>
  </si>
  <si>
    <t>Precioso 2004</t>
  </si>
  <si>
    <t>ML. Precioso</t>
  </si>
  <si>
    <t xml:space="preserve">Cerro de Montecristo </t>
  </si>
  <si>
    <t>Adra</t>
  </si>
  <si>
    <t>Pérez Jordá unpublished</t>
  </si>
  <si>
    <t>Cerro del Alcázar</t>
  </si>
  <si>
    <t>Baeza</t>
  </si>
  <si>
    <t>Montes-Moya  2014</t>
  </si>
  <si>
    <t>E. Montes-Moya</t>
  </si>
  <si>
    <t>Cerro del Villar</t>
  </si>
  <si>
    <t>Málaga</t>
  </si>
  <si>
    <t>Catalá 1999</t>
  </si>
  <si>
    <t>M. Catalá</t>
  </si>
  <si>
    <t>Cinc Ponts</t>
  </si>
  <si>
    <t>Coll del Moro</t>
  </si>
  <si>
    <t>Gandesa</t>
  </si>
  <si>
    <t>Lopez &amp; Tarongi unpublished</t>
  </si>
  <si>
    <t>Conesa (Place)</t>
  </si>
  <si>
    <t>Bouby 2010</t>
  </si>
  <si>
    <t>Corbières (Rue des)</t>
  </si>
  <si>
    <t>Bénézet et al. 2012</t>
  </si>
  <si>
    <t>Courtinals</t>
  </si>
  <si>
    <t>Mourèze</t>
  </si>
  <si>
    <t>Pernaud et al. 1990</t>
  </si>
  <si>
    <t>Cova d'Anes</t>
  </si>
  <si>
    <t>Prullans</t>
  </si>
  <si>
    <t xml:space="preserve">Alonso 1995 </t>
  </si>
  <si>
    <t>Cova de la Sarsa</t>
  </si>
  <si>
    <t>Bocairent</t>
  </si>
  <si>
    <t>Cova de les Portes</t>
  </si>
  <si>
    <t>Lladurs</t>
  </si>
  <si>
    <t>Cova de Recambra</t>
  </si>
  <si>
    <t>Gandía</t>
  </si>
  <si>
    <t>Buxó 1989, Pérez jordá 2013</t>
  </si>
  <si>
    <t>R. Buxó, G. Pérez Jordá</t>
  </si>
  <si>
    <t>Cova Punta Farisa</t>
  </si>
  <si>
    <t>Fraga Huesca</t>
  </si>
  <si>
    <t>Alonso 1995</t>
  </si>
  <si>
    <t>Cuesta del Negro</t>
  </si>
  <si>
    <t>Purullena</t>
  </si>
  <si>
    <t>Cueva de los Tiestos</t>
  </si>
  <si>
    <t>Jumilla</t>
  </si>
  <si>
    <t>Cueva del Calor</t>
  </si>
  <si>
    <t>Cehegín</t>
  </si>
  <si>
    <t>Rivera et al. 1988</t>
  </si>
  <si>
    <t xml:space="preserve">D. Rivera </t>
  </si>
  <si>
    <t>Cueva del Toro</t>
  </si>
  <si>
    <t>Antequera</t>
  </si>
  <si>
    <t>Edeta</t>
  </si>
  <si>
    <t>Pérez Jordá 1995, 2013; Pérez Jordà et al. 2000</t>
  </si>
  <si>
    <t>El Berral</t>
  </si>
  <si>
    <t>Porcuna</t>
  </si>
  <si>
    <t>Stika 2017</t>
  </si>
  <si>
    <t>HP. Stika</t>
  </si>
  <si>
    <t>El Bordellet</t>
  </si>
  <si>
    <t>El Malagón</t>
  </si>
  <si>
    <t>Cúllar</t>
  </si>
  <si>
    <t>El Oficio</t>
  </si>
  <si>
    <t>Hopf 1991</t>
  </si>
  <si>
    <t>A. Hopf</t>
  </si>
  <si>
    <t>El Vilot  0</t>
  </si>
  <si>
    <t>Almacelles</t>
  </si>
  <si>
    <t>Alonso et al. 2002</t>
  </si>
  <si>
    <t>El Vilot  I</t>
  </si>
  <si>
    <t>El Vilot  II</t>
  </si>
  <si>
    <t>El Vilot  III</t>
  </si>
  <si>
    <t>Els Malladarets</t>
  </si>
  <si>
    <t>Alfara de Carles</t>
  </si>
  <si>
    <t>Era del Castell</t>
  </si>
  <si>
    <t>El Catllar</t>
  </si>
  <si>
    <t>Eras del Alcázar</t>
  </si>
  <si>
    <t>Úbeda</t>
  </si>
  <si>
    <t>Montes-Moya 2014</t>
  </si>
  <si>
    <t>Ereta del Castellar</t>
  </si>
  <si>
    <t>Estinclells</t>
  </si>
  <si>
    <t>Verdú</t>
  </si>
  <si>
    <t>Alonso &amp; Lópezunpublished</t>
  </si>
  <si>
    <t>N. Alonso, D. López-Reyes</t>
  </si>
  <si>
    <t>Font de la Canya</t>
  </si>
  <si>
    <t>Avinyonet</t>
  </si>
  <si>
    <t>López 2004</t>
  </si>
  <si>
    <t>Fuente Amarga</t>
  </si>
  <si>
    <t>Genó</t>
  </si>
  <si>
    <t>Aitona</t>
  </si>
  <si>
    <t>Alonso 1999</t>
  </si>
  <si>
    <t>Guadix (calles
San Miguel Bajo y Concepción)</t>
  </si>
  <si>
    <t>Guadix</t>
  </si>
  <si>
    <t>Huelva</t>
  </si>
  <si>
    <t>Pérez Jorda et al 2017</t>
  </si>
  <si>
    <t>Illa d'en Reixac</t>
  </si>
  <si>
    <t>Ullastret</t>
  </si>
  <si>
    <t>Illeta dels Banyets</t>
  </si>
  <si>
    <t>El Campello</t>
  </si>
  <si>
    <t>Pérez Jorda 2013</t>
  </si>
  <si>
    <t>Kelin</t>
  </si>
  <si>
    <t>Caudete de las Fuentes</t>
  </si>
  <si>
    <t>L’Altet de Palau</t>
  </si>
  <si>
    <t>La Font de la Figuera</t>
  </si>
  <si>
    <t>La Bastida de les Alcusses</t>
  </si>
  <si>
    <t>Moixent</t>
  </si>
  <si>
    <t>La Cardosilla</t>
  </si>
  <si>
    <t>Requena</t>
  </si>
  <si>
    <t>Hopf 1972</t>
  </si>
  <si>
    <t>La Cella</t>
  </si>
  <si>
    <t>Salou</t>
  </si>
  <si>
    <t>Diloli et al. 2016</t>
  </si>
  <si>
    <t>L. Bricio</t>
  </si>
  <si>
    <t>La Codera</t>
  </si>
  <si>
    <t>Alcolea de Cinca</t>
  </si>
  <si>
    <t>Alonso unpublished</t>
  </si>
  <si>
    <t>La Moleta de Remei</t>
  </si>
  <si>
    <t>Alcanar</t>
  </si>
  <si>
    <t>Cubero 2000</t>
  </si>
  <si>
    <t>La Peladilla</t>
  </si>
  <si>
    <t>La Rebanadilla</t>
  </si>
  <si>
    <t>La Seña</t>
  </si>
  <si>
    <t>Villar del Arzobispo</t>
  </si>
  <si>
    <t>La Sima del Ruidor</t>
  </si>
  <si>
    <t>Aldehuela</t>
  </si>
  <si>
    <t>La Vital</t>
  </si>
  <si>
    <t>Lattara</t>
  </si>
  <si>
    <t>Alonso et al. 2008</t>
  </si>
  <si>
    <t>N. Alonso, R. Buxò, N. Rovira</t>
  </si>
  <si>
    <t>Lloma de Betxí</t>
  </si>
  <si>
    <t>Paterna</t>
  </si>
  <si>
    <t>Los Alcores</t>
  </si>
  <si>
    <t>Los Castillejos</t>
  </si>
  <si>
    <t>Montefrío</t>
  </si>
  <si>
    <t>Los Morrones</t>
  </si>
  <si>
    <t>Cortes de Arenoso</t>
  </si>
  <si>
    <t>Pérez Jordà unpublished</t>
  </si>
  <si>
    <t>Madres  Mercaderias</t>
  </si>
  <si>
    <t>Lorca</t>
  </si>
  <si>
    <t>Precioso 1996</t>
  </si>
  <si>
    <t>Margalef</t>
  </si>
  <si>
    <t>Torregrossa</t>
  </si>
  <si>
    <t>Alonso 1992</t>
  </si>
  <si>
    <t>Mas Castelar</t>
  </si>
  <si>
    <t>Pontós</t>
  </si>
  <si>
    <t>Canal &amp; Buxó, 2002</t>
  </si>
  <si>
    <t>D. Canal, R. Buxó</t>
  </si>
  <si>
    <t>Mas dels Farres</t>
  </si>
  <si>
    <t>Mas d'en Boixos</t>
  </si>
  <si>
    <t>Pacs del Penedes</t>
  </si>
  <si>
    <t xml:space="preserve">Mas d'en Gual </t>
  </si>
  <si>
    <t>El Vendrell</t>
  </si>
  <si>
    <t>Masada del Ratón</t>
  </si>
  <si>
    <t>Fraga</t>
  </si>
  <si>
    <t>Minferri</t>
  </si>
  <si>
    <t>Juneda</t>
  </si>
  <si>
    <t>Molí de l'Espigol</t>
  </si>
  <si>
    <t>Tornabous</t>
  </si>
  <si>
    <t>Pinaud 2021</t>
  </si>
  <si>
    <t>Mourrel-Ferrat</t>
  </si>
  <si>
    <t>Olonzac</t>
  </si>
  <si>
    <t>Rovira &amp; Alonso 2018, Pinaud 2021</t>
  </si>
  <si>
    <t>N. Rovira, N. Alonso, R. Pinaud</t>
  </si>
  <si>
    <t>Peñalosa</t>
  </si>
  <si>
    <t>Baños de la encima</t>
  </si>
  <si>
    <t>Peña Chocarro 2000, Arnanz 1991</t>
  </si>
  <si>
    <t>L. Peña Chocarro, A. Arnanz</t>
  </si>
  <si>
    <t>Pla del Tabac</t>
  </si>
  <si>
    <t>Alguaire</t>
  </si>
  <si>
    <t>Puente Tablas</t>
  </si>
  <si>
    <t>Jaén</t>
  </si>
  <si>
    <t>Buxò 1997, Montes-Moya 2015</t>
  </si>
  <si>
    <t>R. Buxó, E. Momtes-Moya</t>
  </si>
  <si>
    <t>Puig de la Misericordia</t>
  </si>
  <si>
    <t>Benicarló</t>
  </si>
  <si>
    <t>Cubero 1996</t>
  </si>
  <si>
    <t>Puig de la Nau</t>
  </si>
  <si>
    <t>Puig de Sant Andreu</t>
  </si>
  <si>
    <t>Puntal dels Llops</t>
  </si>
  <si>
    <t>Olocau</t>
  </si>
  <si>
    <t>Pérez Jordá 2002, 2013</t>
  </si>
  <si>
    <t>Argelès-sur-Mer</t>
  </si>
  <si>
    <t>Mainval unpublished</t>
  </si>
  <si>
    <t>Roc de Murviel</t>
  </si>
  <si>
    <t>Pinaurd 2021</t>
  </si>
  <si>
    <t>Roques del Sarró</t>
  </si>
  <si>
    <t>Lleida</t>
  </si>
  <si>
    <t>Sant Esteve</t>
  </si>
  <si>
    <t xml:space="preserve">Olius </t>
  </si>
  <si>
    <t>López 2008</t>
  </si>
  <si>
    <t>Sant Jaume</t>
  </si>
  <si>
    <t>Sextantio</t>
  </si>
  <si>
    <t>Torrelló d'Almassora</t>
  </si>
  <si>
    <t>Almassora</t>
  </si>
  <si>
    <t xml:space="preserve">Cubero 1993 </t>
  </si>
  <si>
    <t>Tos Pelat</t>
  </si>
  <si>
    <t>Moncada</t>
  </si>
  <si>
    <t>Tossal de la Vila</t>
  </si>
  <si>
    <t>Serra d'en Galceran</t>
  </si>
  <si>
    <t>Tossal de les Tenalles</t>
  </si>
  <si>
    <t>Sidamón</t>
  </si>
  <si>
    <t>Tossal del Mortórum</t>
  </si>
  <si>
    <t>Cabanes</t>
  </si>
  <si>
    <t>Pérez Jordà</t>
  </si>
  <si>
    <t>Tozal de los Regallos</t>
  </si>
  <si>
    <t>Candasnos</t>
  </si>
  <si>
    <t xml:space="preserve">Vilars </t>
  </si>
  <si>
    <t>Arbeca</t>
  </si>
  <si>
    <t>Vinarragell</t>
  </si>
  <si>
    <t>Borriana</t>
  </si>
  <si>
    <t>Pérez Jordà &amp; Buxó 1995</t>
  </si>
  <si>
    <t>Vincament</t>
  </si>
  <si>
    <t>Alonso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</si>
</sst>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3" fillId="0" borderId="0" xfId="0" applyFont="1" applyAlignment="1">
      <alignment horizontal="left" vertical="justify"/>
    </xf>
    <xf numFmtId="0" fontId="9" fillId="0" borderId="0" xfId="0" applyFont="1" applyAlignment="1">
      <alignment horizontal="left" vertical="justify"/>
    </xf>
    <xf numFmtId="49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center" vertical="justify"/>
    </xf>
    <xf numFmtId="0" fontId="9" fillId="0" borderId="0" xfId="0" applyFont="1" applyAlignment="1">
      <alignment horizontal="justify" vertical="center"/>
    </xf>
    <xf numFmtId="164" fontId="9" fillId="0" borderId="0" xfId="0" applyNumberFormat="1" applyFont="1"/>
    <xf numFmtId="0" fontId="0" fillId="0" borderId="0" xfId="0" applyAlignment="1">
      <alignment horizontal="center" vertical="justify"/>
    </xf>
    <xf numFmtId="49" fontId="0" fillId="0" borderId="0" xfId="0" applyNumberFormat="1" applyAlignment="1">
      <alignment horizontal="justify" vertical="center"/>
    </xf>
    <xf numFmtId="0" fontId="0" fillId="0" borderId="0" xfId="0" applyAlignment="1">
      <alignment horizontal="left" vertical="justify"/>
    </xf>
    <xf numFmtId="1" fontId="3" fillId="0" borderId="0" xfId="0" applyNumberFormat="1" applyFont="1" applyAlignment="1">
      <alignment horizontal="left" vertical="justify"/>
    </xf>
    <xf numFmtId="0" fontId="7" fillId="0" borderId="0" xfId="0" applyFont="1" applyAlignment="1">
      <alignment horizontal="center" vertical="justify"/>
    </xf>
    <xf numFmtId="0" fontId="7" fillId="0" borderId="0" xfId="0" applyFont="1" applyAlignment="1">
      <alignment horizontal="center"/>
    </xf>
    <xf numFmtId="0" fontId="3" fillId="0" borderId="0" xfId="0" applyFont="1" applyAlignment="1" applyProtection="1">
      <alignment horizontal="left" vertical="justify"/>
      <protection locked="0"/>
    </xf>
    <xf numFmtId="1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2" applyFont="1" applyAlignment="1">
      <alignment horizontal="left" vertical="justify"/>
    </xf>
    <xf numFmtId="165" fontId="9" fillId="0" borderId="0" xfId="0" applyNumberFormat="1" applyFont="1"/>
    <xf numFmtId="165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</cellXfs>
  <cellStyles count="3">
    <cellStyle name="Normal" xfId="0" builtinId="0"/>
    <cellStyle name="Normal_Feuil1" xfId="2" xr:uid="{E56D71A0-B66E-4F1C-8B75-5BE395607DA2}"/>
    <cellStyle name="Normal_Feuil2" xfId="1" xr:uid="{39AC4E6B-C363-4A03-9136-2F9E63A36D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A765-0D7A-4ECE-883B-50210242DEC4}">
  <dimension ref="A1:BD769"/>
  <sheetViews>
    <sheetView tabSelected="1" workbookViewId="0">
      <pane xSplit="2" ySplit="1" topLeftCell="AT2" activePane="bottomRight" state="frozen"/>
      <selection pane="topRight" activeCell="C1" sqref="C1"/>
      <selection pane="bottomLeft" activeCell="A4" sqref="A4"/>
      <selection pane="bottomRight" sqref="A1:XFD2"/>
    </sheetView>
  </sheetViews>
  <sheetFormatPr baseColWidth="10" defaultRowHeight="14.4" x14ac:dyDescent="0.3"/>
  <cols>
    <col min="1" max="1" width="28.44140625" bestFit="1" customWidth="1"/>
    <col min="2" max="2" width="22.44140625" bestFit="1" customWidth="1"/>
    <col min="3" max="3" width="9.44140625" style="8" bestFit="1" customWidth="1"/>
    <col min="4" max="4" width="9.21875" style="8" bestFit="1" customWidth="1"/>
    <col min="5" max="5" width="5" style="10" bestFit="1" customWidth="1"/>
    <col min="6" max="6" width="8.33203125" style="10" bestFit="1" customWidth="1"/>
    <col min="7" max="7" width="11.5546875" style="10"/>
    <col min="8" max="9" width="5.6640625" style="11" bestFit="1" customWidth="1"/>
    <col min="10" max="10" width="8.6640625" style="10" bestFit="1" customWidth="1"/>
    <col min="11" max="11" width="9.88671875" style="10" bestFit="1" customWidth="1"/>
    <col min="12" max="12" width="22.109375" style="10" bestFit="1" customWidth="1"/>
    <col min="13" max="20" width="11.5546875" style="10"/>
    <col min="21" max="22" width="10.33203125" style="10" customWidth="1"/>
    <col min="23" max="23" width="9.33203125" style="10" customWidth="1"/>
    <col min="24" max="24" width="10.21875" style="10" customWidth="1"/>
    <col min="25" max="25" width="9.77734375" style="10" bestFit="1" customWidth="1"/>
    <col min="26" max="26" width="10.88671875" style="10" customWidth="1"/>
    <col min="27" max="27" width="5" style="10" bestFit="1" customWidth="1"/>
    <col min="28" max="28" width="8" style="10" bestFit="1" customWidth="1"/>
    <col min="29" max="30" width="9.21875" style="10" bestFit="1" customWidth="1"/>
    <col min="31" max="31" width="14.44140625" style="10" customWidth="1"/>
    <col min="32" max="32" width="11.5546875" style="10" bestFit="1" customWidth="1"/>
    <col min="33" max="33" width="8.33203125" style="10" customWidth="1"/>
    <col min="34" max="34" width="9.77734375" style="10" bestFit="1" customWidth="1"/>
    <col min="35" max="35" width="10.88671875" style="10" customWidth="1"/>
    <col min="36" max="36" width="5" style="10" bestFit="1" customWidth="1"/>
    <col min="37" max="38" width="8" style="10" bestFit="1" customWidth="1"/>
    <col min="39" max="39" width="15.21875" style="10" customWidth="1"/>
    <col min="40" max="40" width="11.5546875" style="10" bestFit="1" customWidth="1"/>
    <col min="41" max="41" width="9.109375" style="10" customWidth="1"/>
    <col min="42" max="42" width="9.77734375" style="10" bestFit="1" customWidth="1"/>
    <col min="43" max="43" width="11.21875" style="10" customWidth="1"/>
    <col min="44" max="44" width="4.6640625" style="10" bestFit="1" customWidth="1"/>
    <col min="45" max="45" width="8" style="10" bestFit="1" customWidth="1"/>
    <col min="46" max="46" width="14.44140625" style="10" customWidth="1"/>
    <col min="47" max="47" width="14.6640625" style="10" customWidth="1"/>
    <col min="48" max="48" width="12.21875" style="10" bestFit="1" customWidth="1"/>
    <col min="49" max="49" width="33.33203125" customWidth="1"/>
    <col min="50" max="50" width="20.88671875" style="15" customWidth="1"/>
    <col min="51" max="51" width="18.33203125" style="15" bestFit="1" customWidth="1"/>
  </cols>
  <sheetData>
    <row r="1" spans="1:51" s="1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2" t="s">
        <v>49</v>
      </c>
      <c r="AY1" s="2" t="s">
        <v>50</v>
      </c>
    </row>
    <row r="2" spans="1:51" x14ac:dyDescent="0.3">
      <c r="A2" s="7" t="s">
        <v>51</v>
      </c>
      <c r="B2" s="7" t="s">
        <v>52</v>
      </c>
      <c r="C2" s="8">
        <v>46.01483391</v>
      </c>
      <c r="D2" s="8">
        <v>3.201285972</v>
      </c>
      <c r="E2" s="9">
        <v>357</v>
      </c>
      <c r="F2" t="s">
        <v>53</v>
      </c>
      <c r="G2" s="10" t="s">
        <v>54</v>
      </c>
      <c r="H2" s="4" t="s">
        <v>55</v>
      </c>
      <c r="I2" s="11">
        <v>-1400</v>
      </c>
      <c r="J2" s="10" t="s">
        <v>56</v>
      </c>
      <c r="K2" s="10" t="s">
        <v>57</v>
      </c>
      <c r="L2" s="12" t="s">
        <v>58</v>
      </c>
      <c r="M2" s="10" t="s">
        <v>59</v>
      </c>
      <c r="O2" s="10" t="s">
        <v>60</v>
      </c>
      <c r="P2" s="10" t="s">
        <v>61</v>
      </c>
      <c r="Q2" s="12"/>
      <c r="S2" s="12">
        <v>93</v>
      </c>
      <c r="V2" s="10">
        <v>2</v>
      </c>
      <c r="W2" s="13">
        <v>23</v>
      </c>
      <c r="X2" s="10">
        <v>0</v>
      </c>
      <c r="AA2" s="10">
        <v>0</v>
      </c>
      <c r="AB2" s="10">
        <v>0</v>
      </c>
      <c r="AC2" s="10">
        <v>0</v>
      </c>
      <c r="AE2" s="14">
        <v>0</v>
      </c>
      <c r="AG2" s="10">
        <v>1</v>
      </c>
      <c r="AJ2" s="10">
        <v>1</v>
      </c>
      <c r="AK2" s="14">
        <v>0</v>
      </c>
      <c r="AL2" s="10">
        <v>1</v>
      </c>
      <c r="AM2" s="14">
        <v>0</v>
      </c>
      <c r="AN2" s="10" t="s">
        <v>62</v>
      </c>
      <c r="AO2" s="10">
        <v>0</v>
      </c>
      <c r="AR2" s="10">
        <v>0</v>
      </c>
      <c r="AS2" s="14">
        <v>0</v>
      </c>
      <c r="AT2" s="10">
        <v>0</v>
      </c>
      <c r="AU2" s="14">
        <v>0</v>
      </c>
      <c r="AY2" s="16" t="s">
        <v>63</v>
      </c>
    </row>
    <row r="3" spans="1:51" x14ac:dyDescent="0.3">
      <c r="A3" s="7" t="s">
        <v>64</v>
      </c>
      <c r="B3" s="7" t="s">
        <v>65</v>
      </c>
      <c r="C3" s="8">
        <v>45.960847510000001</v>
      </c>
      <c r="D3" s="8">
        <v>5.3729257779999999</v>
      </c>
      <c r="E3" s="9">
        <v>360</v>
      </c>
      <c r="F3" t="s">
        <v>53</v>
      </c>
      <c r="G3" s="10" t="s">
        <v>54</v>
      </c>
      <c r="H3" s="11">
        <v>-2200</v>
      </c>
      <c r="I3" s="11">
        <v>-1900</v>
      </c>
      <c r="J3" s="10" t="s">
        <v>56</v>
      </c>
      <c r="K3" s="10" t="s">
        <v>57</v>
      </c>
      <c r="L3" s="12" t="s">
        <v>66</v>
      </c>
      <c r="M3" s="10" t="s">
        <v>67</v>
      </c>
      <c r="O3" s="10" t="s">
        <v>60</v>
      </c>
      <c r="P3" s="10" t="s">
        <v>61</v>
      </c>
      <c r="Q3" s="17"/>
      <c r="S3" s="10">
        <v>4</v>
      </c>
      <c r="V3" s="10">
        <v>0</v>
      </c>
      <c r="W3" s="13">
        <v>1</v>
      </c>
      <c r="X3" s="10">
        <v>0</v>
      </c>
      <c r="AA3" s="10">
        <v>0</v>
      </c>
      <c r="AB3" s="10">
        <v>0</v>
      </c>
      <c r="AC3" s="10">
        <v>0</v>
      </c>
      <c r="AE3" s="14">
        <v>0</v>
      </c>
      <c r="AG3" s="14">
        <v>0</v>
      </c>
      <c r="AJ3" s="14">
        <v>0</v>
      </c>
      <c r="AK3" s="14">
        <v>0</v>
      </c>
      <c r="AL3" s="14">
        <v>0</v>
      </c>
      <c r="AM3" s="14">
        <v>0</v>
      </c>
      <c r="AO3" s="14">
        <v>0</v>
      </c>
      <c r="AR3" s="10">
        <v>0</v>
      </c>
      <c r="AS3" s="14">
        <v>0</v>
      </c>
      <c r="AT3" s="14">
        <v>0</v>
      </c>
      <c r="AU3" s="14">
        <v>0</v>
      </c>
      <c r="AY3" s="16" t="s">
        <v>68</v>
      </c>
    </row>
    <row r="4" spans="1:51" x14ac:dyDescent="0.3">
      <c r="A4" s="7" t="s">
        <v>69</v>
      </c>
      <c r="B4" s="7" t="s">
        <v>70</v>
      </c>
      <c r="C4" s="8">
        <v>45.839032539999998</v>
      </c>
      <c r="D4" s="8">
        <v>4.9973800219999998</v>
      </c>
      <c r="E4" s="9">
        <v>237</v>
      </c>
      <c r="F4" t="s">
        <v>53</v>
      </c>
      <c r="G4" s="10" t="s">
        <v>54</v>
      </c>
      <c r="H4" s="11">
        <v>-2200</v>
      </c>
      <c r="I4" s="11">
        <v>-1600</v>
      </c>
      <c r="J4" s="10" t="s">
        <v>56</v>
      </c>
      <c r="K4" s="10" t="s">
        <v>57</v>
      </c>
      <c r="L4" s="12" t="s">
        <v>66</v>
      </c>
      <c r="M4" s="10" t="s">
        <v>59</v>
      </c>
      <c r="O4" s="10" t="s">
        <v>60</v>
      </c>
      <c r="P4" s="10" t="s">
        <v>61</v>
      </c>
      <c r="Q4" s="17"/>
      <c r="S4" s="12">
        <v>5667</v>
      </c>
      <c r="V4" s="10">
        <v>0</v>
      </c>
      <c r="W4" s="13">
        <v>2</v>
      </c>
      <c r="X4" s="10">
        <v>0</v>
      </c>
      <c r="AA4" s="10">
        <v>0</v>
      </c>
      <c r="AB4" s="10">
        <v>0</v>
      </c>
      <c r="AC4" s="10">
        <v>0</v>
      </c>
      <c r="AE4" s="14">
        <v>0</v>
      </c>
      <c r="AG4" s="14">
        <v>0</v>
      </c>
      <c r="AJ4" s="14">
        <v>0</v>
      </c>
      <c r="AK4" s="14">
        <v>0</v>
      </c>
      <c r="AL4" s="14">
        <v>0</v>
      </c>
      <c r="AM4" s="14">
        <v>0</v>
      </c>
      <c r="AO4" s="14">
        <v>0</v>
      </c>
      <c r="AR4" s="10">
        <v>0</v>
      </c>
      <c r="AS4" s="14">
        <v>0</v>
      </c>
      <c r="AT4" s="14">
        <v>0</v>
      </c>
      <c r="AU4" s="14">
        <v>0</v>
      </c>
      <c r="AY4" s="16" t="s">
        <v>63</v>
      </c>
    </row>
    <row r="5" spans="1:51" x14ac:dyDescent="0.3">
      <c r="A5" s="7" t="s">
        <v>71</v>
      </c>
      <c r="B5" s="7" t="s">
        <v>72</v>
      </c>
      <c r="C5" s="8">
        <v>44.288201639999997</v>
      </c>
      <c r="D5" s="8">
        <v>4.7523595629999997</v>
      </c>
      <c r="E5" s="9">
        <v>81</v>
      </c>
      <c r="F5" t="s">
        <v>53</v>
      </c>
      <c r="G5" s="10" t="s">
        <v>54</v>
      </c>
      <c r="H5" s="11">
        <v>-2200</v>
      </c>
      <c r="I5" s="11">
        <v>-1600</v>
      </c>
      <c r="J5" s="10" t="s">
        <v>56</v>
      </c>
      <c r="K5" s="10" t="s">
        <v>57</v>
      </c>
      <c r="L5" s="12" t="s">
        <v>66</v>
      </c>
      <c r="M5" s="10" t="s">
        <v>73</v>
      </c>
      <c r="O5" s="10" t="s">
        <v>60</v>
      </c>
      <c r="P5" s="10" t="s">
        <v>61</v>
      </c>
      <c r="Q5" s="12"/>
      <c r="S5" s="12">
        <v>19</v>
      </c>
      <c r="V5" s="10">
        <v>0</v>
      </c>
      <c r="W5" s="13">
        <v>1</v>
      </c>
      <c r="X5" s="10">
        <v>0</v>
      </c>
      <c r="AA5" s="10">
        <v>0</v>
      </c>
      <c r="AB5" s="10">
        <v>0</v>
      </c>
      <c r="AC5" s="10">
        <v>0</v>
      </c>
      <c r="AE5" s="14">
        <v>0</v>
      </c>
      <c r="AG5" s="10">
        <v>0</v>
      </c>
      <c r="AJ5" s="10">
        <v>0</v>
      </c>
      <c r="AK5" s="14">
        <v>0</v>
      </c>
      <c r="AL5" s="10">
        <v>0</v>
      </c>
      <c r="AM5" s="14">
        <v>0</v>
      </c>
      <c r="AO5" s="10">
        <v>0</v>
      </c>
      <c r="AR5" s="10">
        <v>0</v>
      </c>
      <c r="AS5" s="14">
        <v>0</v>
      </c>
      <c r="AT5" s="10">
        <v>0</v>
      </c>
      <c r="AU5" s="14">
        <v>0</v>
      </c>
      <c r="AY5" s="16" t="s">
        <v>74</v>
      </c>
    </row>
    <row r="6" spans="1:51" s="15" customFormat="1" x14ac:dyDescent="0.3">
      <c r="A6" s="7" t="s">
        <v>75</v>
      </c>
      <c r="B6" s="7" t="s">
        <v>76</v>
      </c>
      <c r="C6" s="8">
        <v>43.447229659999998</v>
      </c>
      <c r="D6" s="8">
        <v>5.4123705610000004</v>
      </c>
      <c r="E6" s="9">
        <v>219</v>
      </c>
      <c r="F6" t="s">
        <v>53</v>
      </c>
      <c r="G6" s="10" t="s">
        <v>54</v>
      </c>
      <c r="H6" s="11">
        <v>-2200</v>
      </c>
      <c r="I6" s="11">
        <v>-1700</v>
      </c>
      <c r="J6" s="10" t="s">
        <v>56</v>
      </c>
      <c r="K6" s="10" t="s">
        <v>57</v>
      </c>
      <c r="L6" s="12" t="s">
        <v>66</v>
      </c>
      <c r="M6" s="10" t="s">
        <v>77</v>
      </c>
      <c r="N6" s="10"/>
      <c r="O6" s="10" t="s">
        <v>60</v>
      </c>
      <c r="P6" s="10" t="s">
        <v>60</v>
      </c>
      <c r="Q6" s="12"/>
      <c r="R6" s="10"/>
      <c r="S6" s="12">
        <v>5</v>
      </c>
      <c r="T6" s="10"/>
      <c r="U6" s="10"/>
      <c r="V6" s="10">
        <v>0</v>
      </c>
      <c r="W6" s="13">
        <v>3</v>
      </c>
      <c r="X6" s="10">
        <v>0</v>
      </c>
      <c r="Y6" s="10"/>
      <c r="Z6" s="10"/>
      <c r="AA6" s="10">
        <v>0</v>
      </c>
      <c r="AB6" s="10">
        <v>0</v>
      </c>
      <c r="AC6" s="10">
        <v>0</v>
      </c>
      <c r="AD6" s="10"/>
      <c r="AE6" s="14">
        <v>0</v>
      </c>
      <c r="AF6" s="10"/>
      <c r="AG6" s="10">
        <v>0</v>
      </c>
      <c r="AH6" s="10"/>
      <c r="AI6" s="10"/>
      <c r="AJ6" s="14">
        <v>0</v>
      </c>
      <c r="AK6" s="14">
        <v>0</v>
      </c>
      <c r="AL6" s="10">
        <v>0</v>
      </c>
      <c r="AM6" s="14">
        <v>0</v>
      </c>
      <c r="AN6" s="10"/>
      <c r="AO6" s="14">
        <v>0</v>
      </c>
      <c r="AP6" s="10"/>
      <c r="AQ6" s="10"/>
      <c r="AR6" s="10">
        <v>0</v>
      </c>
      <c r="AS6" s="14">
        <v>0</v>
      </c>
      <c r="AT6" s="14">
        <v>0</v>
      </c>
      <c r="AU6" s="14">
        <v>0</v>
      </c>
      <c r="AV6" s="10"/>
      <c r="AW6"/>
      <c r="AY6" s="16" t="s">
        <v>78</v>
      </c>
    </row>
    <row r="7" spans="1:51" x14ac:dyDescent="0.3">
      <c r="A7" s="7" t="s">
        <v>79</v>
      </c>
      <c r="B7" s="7" t="s">
        <v>80</v>
      </c>
      <c r="C7" s="8">
        <v>45.664798050000002</v>
      </c>
      <c r="D7" s="8">
        <v>6.7663790390000003</v>
      </c>
      <c r="E7" s="9">
        <v>966</v>
      </c>
      <c r="F7" t="s">
        <v>53</v>
      </c>
      <c r="G7" s="10" t="s">
        <v>54</v>
      </c>
      <c r="H7" s="11">
        <v>-2200</v>
      </c>
      <c r="I7" s="11">
        <v>-1700</v>
      </c>
      <c r="J7" s="10" t="s">
        <v>56</v>
      </c>
      <c r="K7" s="10" t="s">
        <v>57</v>
      </c>
      <c r="L7" s="12" t="s">
        <v>66</v>
      </c>
      <c r="M7" s="10" t="s">
        <v>77</v>
      </c>
      <c r="O7" s="10" t="s">
        <v>60</v>
      </c>
      <c r="P7" s="10" t="s">
        <v>61</v>
      </c>
      <c r="Q7" s="12"/>
      <c r="S7" s="10">
        <v>10</v>
      </c>
      <c r="V7" s="10">
        <v>2</v>
      </c>
      <c r="W7" s="13">
        <v>1</v>
      </c>
      <c r="X7" s="10">
        <v>0</v>
      </c>
      <c r="AA7" s="10">
        <v>0</v>
      </c>
      <c r="AB7" s="10">
        <v>0</v>
      </c>
      <c r="AC7" s="10">
        <v>0</v>
      </c>
      <c r="AE7" s="14">
        <v>0</v>
      </c>
      <c r="AG7" s="10">
        <v>1</v>
      </c>
      <c r="AJ7" s="10">
        <v>4</v>
      </c>
      <c r="AK7" s="14">
        <v>0</v>
      </c>
      <c r="AL7" s="10">
        <v>1</v>
      </c>
      <c r="AM7" s="14">
        <v>0</v>
      </c>
      <c r="AN7" s="10" t="s">
        <v>62</v>
      </c>
      <c r="AO7" s="10">
        <v>0</v>
      </c>
      <c r="AR7" s="10">
        <v>0</v>
      </c>
      <c r="AS7" s="14">
        <v>0</v>
      </c>
      <c r="AT7" s="10">
        <v>0</v>
      </c>
      <c r="AU7" s="14">
        <v>0</v>
      </c>
      <c r="AY7" s="16" t="s">
        <v>81</v>
      </c>
    </row>
    <row r="8" spans="1:51" x14ac:dyDescent="0.3">
      <c r="A8" s="7" t="s">
        <v>82</v>
      </c>
      <c r="B8" s="7" t="s">
        <v>83</v>
      </c>
      <c r="C8" s="8">
        <v>42.737334799999999</v>
      </c>
      <c r="D8" s="8">
        <v>2.5598796959999999</v>
      </c>
      <c r="E8" s="9">
        <v>344</v>
      </c>
      <c r="F8" t="s">
        <v>53</v>
      </c>
      <c r="G8" s="10" t="s">
        <v>54</v>
      </c>
      <c r="H8" s="11">
        <v>-2200</v>
      </c>
      <c r="I8" s="11">
        <v>-1600</v>
      </c>
      <c r="J8" s="10" t="s">
        <v>56</v>
      </c>
      <c r="K8" s="10" t="s">
        <v>57</v>
      </c>
      <c r="L8" s="12" t="s">
        <v>66</v>
      </c>
      <c r="M8" s="10" t="s">
        <v>84</v>
      </c>
      <c r="O8" s="10" t="s">
        <v>60</v>
      </c>
      <c r="P8" s="10" t="s">
        <v>61</v>
      </c>
      <c r="Q8" s="12"/>
      <c r="S8" s="12">
        <v>2</v>
      </c>
      <c r="V8" s="10">
        <v>0</v>
      </c>
      <c r="W8" s="13">
        <v>2</v>
      </c>
      <c r="X8" s="10">
        <v>0</v>
      </c>
      <c r="AA8" s="10">
        <v>0</v>
      </c>
      <c r="AB8" s="10">
        <v>0</v>
      </c>
      <c r="AC8" s="10">
        <v>0</v>
      </c>
      <c r="AE8" s="14">
        <v>0</v>
      </c>
      <c r="AG8" s="10">
        <v>0</v>
      </c>
      <c r="AJ8" s="14">
        <v>0</v>
      </c>
      <c r="AK8" s="14">
        <v>0</v>
      </c>
      <c r="AL8" s="10">
        <v>0</v>
      </c>
      <c r="AM8" s="14">
        <v>0</v>
      </c>
      <c r="AO8" s="10">
        <v>0</v>
      </c>
      <c r="AR8" s="10">
        <v>0</v>
      </c>
      <c r="AS8" s="14">
        <v>0</v>
      </c>
      <c r="AT8" s="10">
        <v>0</v>
      </c>
      <c r="AU8" s="14">
        <v>0</v>
      </c>
      <c r="AY8" s="16" t="s">
        <v>85</v>
      </c>
    </row>
    <row r="9" spans="1:51" x14ac:dyDescent="0.3">
      <c r="A9" s="7" t="s">
        <v>86</v>
      </c>
      <c r="B9" s="7" t="s">
        <v>87</v>
      </c>
      <c r="C9" s="8">
        <v>44.713669070000002</v>
      </c>
      <c r="D9" s="8">
        <v>4.9607224319999998</v>
      </c>
      <c r="E9" s="9">
        <v>234</v>
      </c>
      <c r="F9" t="s">
        <v>53</v>
      </c>
      <c r="G9" s="10" t="s">
        <v>54</v>
      </c>
      <c r="H9" s="11">
        <v>-2000</v>
      </c>
      <c r="I9" s="11">
        <v>-1800</v>
      </c>
      <c r="J9" s="10" t="s">
        <v>56</v>
      </c>
      <c r="K9" s="10" t="s">
        <v>57</v>
      </c>
      <c r="L9" s="12" t="s">
        <v>66</v>
      </c>
      <c r="M9" s="10" t="s">
        <v>77</v>
      </c>
      <c r="O9" s="10" t="s">
        <v>60</v>
      </c>
      <c r="P9" s="10" t="s">
        <v>61</v>
      </c>
      <c r="Q9" s="12"/>
      <c r="S9" s="12">
        <v>6</v>
      </c>
      <c r="V9" s="10">
        <v>0</v>
      </c>
      <c r="W9" s="13">
        <v>21</v>
      </c>
      <c r="X9" s="10">
        <v>0</v>
      </c>
      <c r="AA9" s="10">
        <v>0</v>
      </c>
      <c r="AB9" s="10">
        <v>0</v>
      </c>
      <c r="AC9" s="10">
        <v>0</v>
      </c>
      <c r="AE9" s="14">
        <v>0</v>
      </c>
      <c r="AG9" s="10">
        <v>0</v>
      </c>
      <c r="AJ9" s="14">
        <v>0</v>
      </c>
      <c r="AK9" s="14">
        <v>0</v>
      </c>
      <c r="AL9" s="10">
        <v>0</v>
      </c>
      <c r="AM9" s="14">
        <v>0</v>
      </c>
      <c r="AO9" s="14">
        <v>0</v>
      </c>
      <c r="AR9" s="10">
        <v>0</v>
      </c>
      <c r="AS9" s="14">
        <v>0</v>
      </c>
      <c r="AT9" s="14">
        <v>0</v>
      </c>
      <c r="AU9" s="14">
        <v>0</v>
      </c>
      <c r="AY9" s="16" t="s">
        <v>68</v>
      </c>
    </row>
    <row r="10" spans="1:51" x14ac:dyDescent="0.3">
      <c r="A10" s="7" t="s">
        <v>88</v>
      </c>
      <c r="B10" s="7" t="s">
        <v>89</v>
      </c>
      <c r="C10" s="8">
        <v>46.310407509999997</v>
      </c>
      <c r="D10" s="8">
        <v>6.2677314270000002</v>
      </c>
      <c r="E10" s="9">
        <v>418</v>
      </c>
      <c r="F10" t="s">
        <v>53</v>
      </c>
      <c r="G10" s="10" t="s">
        <v>54</v>
      </c>
      <c r="H10" s="11">
        <v>-2200</v>
      </c>
      <c r="I10" s="11">
        <v>-1600</v>
      </c>
      <c r="J10" s="10" t="s">
        <v>56</v>
      </c>
      <c r="K10" s="10" t="s">
        <v>57</v>
      </c>
      <c r="L10" s="18" t="s">
        <v>66</v>
      </c>
      <c r="M10" s="10" t="s">
        <v>73</v>
      </c>
      <c r="O10" s="10" t="s">
        <v>60</v>
      </c>
      <c r="P10" s="10" t="s">
        <v>61</v>
      </c>
      <c r="Q10" s="12"/>
      <c r="S10" s="12">
        <v>7</v>
      </c>
      <c r="V10" s="10">
        <v>0</v>
      </c>
      <c r="W10" s="13">
        <v>9</v>
      </c>
      <c r="X10" s="10">
        <v>0</v>
      </c>
      <c r="AA10" s="10">
        <v>0</v>
      </c>
      <c r="AB10" s="10">
        <v>0</v>
      </c>
      <c r="AC10" s="10">
        <v>0</v>
      </c>
      <c r="AE10" s="14">
        <v>0</v>
      </c>
      <c r="AG10" s="10">
        <v>0</v>
      </c>
      <c r="AJ10" s="10">
        <v>0</v>
      </c>
      <c r="AK10" s="14">
        <v>0</v>
      </c>
      <c r="AL10" s="10">
        <v>0</v>
      </c>
      <c r="AM10" s="14">
        <v>0</v>
      </c>
      <c r="AO10" s="10">
        <v>0</v>
      </c>
      <c r="AR10" s="10">
        <v>0</v>
      </c>
      <c r="AS10" s="14">
        <v>0</v>
      </c>
      <c r="AT10" s="10">
        <v>0</v>
      </c>
      <c r="AU10" s="14">
        <v>0</v>
      </c>
      <c r="AY10" s="16" t="s">
        <v>63</v>
      </c>
    </row>
    <row r="11" spans="1:51" s="15" customFormat="1" x14ac:dyDescent="0.3">
      <c r="A11" s="7" t="s">
        <v>90</v>
      </c>
      <c r="B11" s="7" t="s">
        <v>91</v>
      </c>
      <c r="C11" s="8">
        <v>45.785649300000003</v>
      </c>
      <c r="D11" s="8">
        <v>3.115545429</v>
      </c>
      <c r="E11" s="9">
        <v>370</v>
      </c>
      <c r="F11" t="s">
        <v>53</v>
      </c>
      <c r="G11" s="10" t="s">
        <v>54</v>
      </c>
      <c r="H11" s="11">
        <v>-1900</v>
      </c>
      <c r="I11" s="11">
        <v>-1750</v>
      </c>
      <c r="J11" s="10" t="s">
        <v>56</v>
      </c>
      <c r="K11" s="10" t="s">
        <v>57</v>
      </c>
      <c r="L11" s="12" t="s">
        <v>66</v>
      </c>
      <c r="M11" s="10" t="s">
        <v>92</v>
      </c>
      <c r="N11" s="10"/>
      <c r="O11" s="10" t="s">
        <v>60</v>
      </c>
      <c r="P11" s="10" t="s">
        <v>61</v>
      </c>
      <c r="Q11" s="12"/>
      <c r="R11" s="10"/>
      <c r="S11" s="12">
        <v>8754</v>
      </c>
      <c r="T11" s="10"/>
      <c r="U11" s="10"/>
      <c r="V11" s="10">
        <v>0</v>
      </c>
      <c r="W11" s="19">
        <v>24</v>
      </c>
      <c r="X11" s="10">
        <v>0</v>
      </c>
      <c r="Y11" s="10"/>
      <c r="Z11" s="10"/>
      <c r="AA11" s="10">
        <v>0</v>
      </c>
      <c r="AB11" s="10">
        <v>0</v>
      </c>
      <c r="AC11" s="10">
        <v>0</v>
      </c>
      <c r="AD11" s="10"/>
      <c r="AE11" s="14">
        <v>0</v>
      </c>
      <c r="AF11" s="10"/>
      <c r="AG11" s="10">
        <v>0</v>
      </c>
      <c r="AH11" s="10"/>
      <c r="AI11" s="10"/>
      <c r="AJ11" s="14">
        <v>0</v>
      </c>
      <c r="AK11" s="14">
        <v>0</v>
      </c>
      <c r="AL11" s="10">
        <v>0</v>
      </c>
      <c r="AM11" s="14">
        <v>0</v>
      </c>
      <c r="AN11" s="10"/>
      <c r="AO11" s="10">
        <v>0</v>
      </c>
      <c r="AP11" s="10"/>
      <c r="AQ11" s="10"/>
      <c r="AR11" s="10">
        <v>0</v>
      </c>
      <c r="AS11" s="14">
        <v>0</v>
      </c>
      <c r="AT11" s="10">
        <v>0</v>
      </c>
      <c r="AU11" s="14">
        <v>0</v>
      </c>
      <c r="AV11" s="10"/>
      <c r="AW11"/>
      <c r="AY11" s="15" t="s">
        <v>93</v>
      </c>
    </row>
    <row r="12" spans="1:51" s="15" customFormat="1" x14ac:dyDescent="0.3">
      <c r="A12" s="7" t="s">
        <v>94</v>
      </c>
      <c r="B12" s="7" t="s">
        <v>95</v>
      </c>
      <c r="C12" s="8">
        <v>42.659851519999997</v>
      </c>
      <c r="D12" s="8">
        <v>2.6824784209999999</v>
      </c>
      <c r="E12" s="9">
        <v>158</v>
      </c>
      <c r="F12" t="s">
        <v>53</v>
      </c>
      <c r="G12" s="10" t="s">
        <v>54</v>
      </c>
      <c r="H12" s="11">
        <v>-2200</v>
      </c>
      <c r="I12" s="11">
        <v>-1600</v>
      </c>
      <c r="J12" s="10" t="s">
        <v>56</v>
      </c>
      <c r="K12" s="10" t="s">
        <v>57</v>
      </c>
      <c r="L12" s="12" t="s">
        <v>66</v>
      </c>
      <c r="M12" s="10" t="s">
        <v>67</v>
      </c>
      <c r="N12" s="10"/>
      <c r="O12" s="10" t="s">
        <v>60</v>
      </c>
      <c r="P12" s="10" t="s">
        <v>60</v>
      </c>
      <c r="Q12" s="17"/>
      <c r="R12" s="10"/>
      <c r="S12" s="12">
        <v>5260</v>
      </c>
      <c r="T12" s="10"/>
      <c r="U12" s="10"/>
      <c r="V12" s="10">
        <v>1</v>
      </c>
      <c r="W12" s="13">
        <v>138</v>
      </c>
      <c r="X12" s="10">
        <v>0</v>
      </c>
      <c r="Y12" s="10"/>
      <c r="Z12" s="10"/>
      <c r="AA12" s="10">
        <v>0</v>
      </c>
      <c r="AB12" s="10">
        <v>0</v>
      </c>
      <c r="AC12" s="10">
        <v>0</v>
      </c>
      <c r="AD12" s="10"/>
      <c r="AE12" s="14">
        <v>0</v>
      </c>
      <c r="AF12" s="10"/>
      <c r="AG12" s="10">
        <v>0</v>
      </c>
      <c r="AH12" s="10"/>
      <c r="AI12" s="10"/>
      <c r="AJ12" s="10">
        <v>0</v>
      </c>
      <c r="AK12" s="14">
        <v>0</v>
      </c>
      <c r="AL12" s="10">
        <v>0</v>
      </c>
      <c r="AM12" s="14">
        <v>0</v>
      </c>
      <c r="AN12" s="10"/>
      <c r="AO12" s="10">
        <v>0</v>
      </c>
      <c r="AP12" s="10"/>
      <c r="AQ12" s="10"/>
      <c r="AR12" s="10">
        <v>0</v>
      </c>
      <c r="AS12" s="14">
        <v>0</v>
      </c>
      <c r="AT12" s="10">
        <v>0</v>
      </c>
      <c r="AU12" s="14">
        <v>0</v>
      </c>
      <c r="AV12" s="10"/>
      <c r="AW12"/>
      <c r="AY12" s="16" t="s">
        <v>96</v>
      </c>
    </row>
    <row r="13" spans="1:51" s="15" customFormat="1" x14ac:dyDescent="0.3">
      <c r="A13" s="20" t="s">
        <v>97</v>
      </c>
      <c r="B13" s="7" t="s">
        <v>98</v>
      </c>
      <c r="C13" s="8">
        <v>45.742967</v>
      </c>
      <c r="D13" s="8">
        <v>3.1868758160000001</v>
      </c>
      <c r="E13" s="9">
        <v>375</v>
      </c>
      <c r="F13" t="s">
        <v>53</v>
      </c>
      <c r="G13" s="10" t="s">
        <v>54</v>
      </c>
      <c r="H13" s="11">
        <v>-2100</v>
      </c>
      <c r="I13" s="11">
        <v>-1600</v>
      </c>
      <c r="J13" s="10" t="s">
        <v>56</v>
      </c>
      <c r="K13" s="10" t="s">
        <v>57</v>
      </c>
      <c r="L13" s="21" t="s">
        <v>66</v>
      </c>
      <c r="M13" s="10" t="s">
        <v>77</v>
      </c>
      <c r="N13" s="10"/>
      <c r="O13" s="10" t="s">
        <v>60</v>
      </c>
      <c r="P13" s="10" t="s">
        <v>61</v>
      </c>
      <c r="Q13" s="12"/>
      <c r="R13" s="10"/>
      <c r="S13" s="12">
        <v>27</v>
      </c>
      <c r="T13" s="10"/>
      <c r="U13" s="10"/>
      <c r="V13" s="10">
        <v>1</v>
      </c>
      <c r="W13" s="13">
        <v>9</v>
      </c>
      <c r="X13" s="10">
        <v>0</v>
      </c>
      <c r="Y13" s="10"/>
      <c r="Z13" s="10"/>
      <c r="AA13" s="10">
        <v>0</v>
      </c>
      <c r="AB13" s="10">
        <v>0</v>
      </c>
      <c r="AC13" s="10">
        <v>0</v>
      </c>
      <c r="AD13" s="10"/>
      <c r="AE13" s="14">
        <v>0</v>
      </c>
      <c r="AF13" s="10"/>
      <c r="AG13" s="10">
        <v>0</v>
      </c>
      <c r="AH13" s="10"/>
      <c r="AI13" s="10"/>
      <c r="AJ13" s="14">
        <v>0</v>
      </c>
      <c r="AK13" s="14">
        <v>0</v>
      </c>
      <c r="AL13" s="10">
        <v>0</v>
      </c>
      <c r="AM13" s="14">
        <v>0</v>
      </c>
      <c r="AN13" s="10"/>
      <c r="AO13" s="10">
        <v>0</v>
      </c>
      <c r="AP13" s="10"/>
      <c r="AQ13" s="10"/>
      <c r="AR13" s="10">
        <v>0</v>
      </c>
      <c r="AS13" s="14">
        <v>0</v>
      </c>
      <c r="AT13" s="10">
        <v>0</v>
      </c>
      <c r="AU13" s="14">
        <v>0</v>
      </c>
      <c r="AV13" s="10"/>
      <c r="AW13"/>
      <c r="AY13" s="16" t="s">
        <v>63</v>
      </c>
    </row>
    <row r="14" spans="1:51" x14ac:dyDescent="0.3">
      <c r="A14" s="7" t="s">
        <v>99</v>
      </c>
      <c r="B14" s="7" t="s">
        <v>100</v>
      </c>
      <c r="C14" s="8">
        <v>45.771771700000002</v>
      </c>
      <c r="D14" s="8">
        <v>3.2385610140000001</v>
      </c>
      <c r="E14" s="9">
        <v>368</v>
      </c>
      <c r="F14" t="s">
        <v>53</v>
      </c>
      <c r="G14" s="10" t="s">
        <v>54</v>
      </c>
      <c r="H14" s="11">
        <v>-1800</v>
      </c>
      <c r="I14" s="11">
        <v>-1600</v>
      </c>
      <c r="J14" s="10" t="s">
        <v>56</v>
      </c>
      <c r="K14" s="10" t="s">
        <v>57</v>
      </c>
      <c r="L14" s="12" t="s">
        <v>66</v>
      </c>
      <c r="M14" s="10" t="s">
        <v>77</v>
      </c>
      <c r="O14" s="10" t="s">
        <v>60</v>
      </c>
      <c r="P14" s="10" t="s">
        <v>61</v>
      </c>
      <c r="Q14" s="12"/>
      <c r="S14" s="12">
        <v>158</v>
      </c>
      <c r="V14" s="10">
        <v>0</v>
      </c>
      <c r="W14" s="13">
        <v>16</v>
      </c>
      <c r="X14" s="10">
        <v>0</v>
      </c>
      <c r="AA14" s="10">
        <v>0</v>
      </c>
      <c r="AB14" s="10">
        <v>0</v>
      </c>
      <c r="AC14" s="10">
        <v>0</v>
      </c>
      <c r="AE14" s="14">
        <v>0</v>
      </c>
      <c r="AG14" s="10">
        <v>0</v>
      </c>
      <c r="AJ14" s="14">
        <v>0</v>
      </c>
      <c r="AK14" s="14">
        <v>0</v>
      </c>
      <c r="AL14" s="10">
        <v>0</v>
      </c>
      <c r="AM14" s="14">
        <v>0</v>
      </c>
      <c r="AO14" s="10">
        <v>0</v>
      </c>
      <c r="AR14" s="10">
        <v>0</v>
      </c>
      <c r="AS14" s="14">
        <v>0</v>
      </c>
      <c r="AT14" s="10">
        <v>0</v>
      </c>
      <c r="AU14" s="14">
        <v>0</v>
      </c>
      <c r="AY14" s="16" t="s">
        <v>68</v>
      </c>
    </row>
    <row r="15" spans="1:51" x14ac:dyDescent="0.3">
      <c r="A15" s="7" t="s">
        <v>101</v>
      </c>
      <c r="B15" s="7" t="s">
        <v>101</v>
      </c>
      <c r="C15" s="8">
        <v>44.930131830000001</v>
      </c>
      <c r="D15" s="8">
        <v>4.8662960389999999</v>
      </c>
      <c r="E15" s="9">
        <v>138</v>
      </c>
      <c r="F15" t="s">
        <v>53</v>
      </c>
      <c r="G15" s="10" t="s">
        <v>54</v>
      </c>
      <c r="H15" s="11">
        <v>-2200</v>
      </c>
      <c r="I15" s="11">
        <v>-1600</v>
      </c>
      <c r="J15" s="10" t="s">
        <v>56</v>
      </c>
      <c r="K15" s="10" t="s">
        <v>57</v>
      </c>
      <c r="L15" s="12" t="s">
        <v>102</v>
      </c>
      <c r="M15" s="10" t="s">
        <v>59</v>
      </c>
      <c r="O15" s="10" t="s">
        <v>60</v>
      </c>
      <c r="P15" s="10" t="s">
        <v>61</v>
      </c>
      <c r="Q15"/>
      <c r="S15" s="12">
        <v>3</v>
      </c>
      <c r="V15" s="10">
        <v>0</v>
      </c>
      <c r="W15" s="13">
        <v>3</v>
      </c>
      <c r="X15" s="10">
        <v>0</v>
      </c>
      <c r="AA15" s="10">
        <v>0</v>
      </c>
      <c r="AB15" s="10">
        <v>0</v>
      </c>
      <c r="AC15" s="10">
        <v>0</v>
      </c>
      <c r="AE15" s="14">
        <v>0</v>
      </c>
      <c r="AG15" s="10">
        <v>0</v>
      </c>
      <c r="AJ15" s="14">
        <v>0</v>
      </c>
      <c r="AK15" s="14">
        <v>0</v>
      </c>
      <c r="AL15" s="10">
        <v>0</v>
      </c>
      <c r="AM15" s="14">
        <v>0</v>
      </c>
      <c r="AO15" s="14">
        <v>0</v>
      </c>
      <c r="AR15" s="10">
        <v>0</v>
      </c>
      <c r="AS15" s="14">
        <v>0</v>
      </c>
      <c r="AT15" s="14">
        <v>0</v>
      </c>
      <c r="AU15" s="14">
        <v>0</v>
      </c>
      <c r="AY15" s="16" t="s">
        <v>63</v>
      </c>
    </row>
    <row r="16" spans="1:51" x14ac:dyDescent="0.3">
      <c r="A16" s="7" t="s">
        <v>103</v>
      </c>
      <c r="B16" s="7" t="s">
        <v>104</v>
      </c>
      <c r="C16" s="8">
        <v>45.569189909999999</v>
      </c>
      <c r="D16" s="8">
        <v>6.6984935759999997</v>
      </c>
      <c r="E16" s="9">
        <v>2050</v>
      </c>
      <c r="F16" t="s">
        <v>53</v>
      </c>
      <c r="G16" s="10" t="s">
        <v>54</v>
      </c>
      <c r="H16" s="11">
        <v>-2200</v>
      </c>
      <c r="I16" s="11">
        <v>-1600</v>
      </c>
      <c r="J16" s="10" t="s">
        <v>56</v>
      </c>
      <c r="K16" s="10" t="s">
        <v>57</v>
      </c>
      <c r="L16" s="12" t="s">
        <v>66</v>
      </c>
      <c r="M16" s="10" t="s">
        <v>77</v>
      </c>
      <c r="O16" s="10" t="s">
        <v>60</v>
      </c>
      <c r="P16" s="10" t="s">
        <v>61</v>
      </c>
      <c r="Q16" s="12"/>
      <c r="S16" s="10">
        <v>0</v>
      </c>
      <c r="V16" s="10">
        <v>0</v>
      </c>
      <c r="W16" s="13">
        <v>1</v>
      </c>
      <c r="X16" s="10">
        <v>0</v>
      </c>
      <c r="AA16" s="10">
        <v>0</v>
      </c>
      <c r="AB16" s="10">
        <v>0</v>
      </c>
      <c r="AC16" s="10">
        <v>0</v>
      </c>
      <c r="AE16" s="14">
        <v>0</v>
      </c>
      <c r="AG16" s="10">
        <v>0</v>
      </c>
      <c r="AJ16" s="10">
        <v>0</v>
      </c>
      <c r="AK16" s="14">
        <v>0</v>
      </c>
      <c r="AL16" s="10">
        <v>0</v>
      </c>
      <c r="AM16" s="14">
        <v>0</v>
      </c>
      <c r="AO16" s="10">
        <v>0</v>
      </c>
      <c r="AR16" s="10">
        <v>0</v>
      </c>
      <c r="AS16" s="14">
        <v>0</v>
      </c>
      <c r="AT16" s="10">
        <v>0</v>
      </c>
      <c r="AU16" s="14">
        <v>0</v>
      </c>
      <c r="AY16" s="16" t="s">
        <v>81</v>
      </c>
    </row>
    <row r="17" spans="1:51" x14ac:dyDescent="0.3">
      <c r="A17" s="7" t="s">
        <v>105</v>
      </c>
      <c r="B17" s="7" t="s">
        <v>106</v>
      </c>
      <c r="C17" s="8">
        <v>45.771727740000003</v>
      </c>
      <c r="D17" s="8">
        <v>4.9614270459999998</v>
      </c>
      <c r="E17" s="9">
        <v>189</v>
      </c>
      <c r="F17" t="s">
        <v>53</v>
      </c>
      <c r="G17" s="10" t="s">
        <v>54</v>
      </c>
      <c r="H17" s="11">
        <v>-2200</v>
      </c>
      <c r="I17" s="11">
        <v>-1600</v>
      </c>
      <c r="J17" s="10" t="s">
        <v>56</v>
      </c>
      <c r="K17" s="10" t="s">
        <v>57</v>
      </c>
      <c r="L17" s="12" t="s">
        <v>66</v>
      </c>
      <c r="M17" s="10" t="s">
        <v>77</v>
      </c>
      <c r="O17" s="10" t="s">
        <v>60</v>
      </c>
      <c r="P17" s="10" t="s">
        <v>61</v>
      </c>
      <c r="Q17" s="12"/>
      <c r="S17" s="12">
        <v>0</v>
      </c>
      <c r="V17" s="10">
        <v>0</v>
      </c>
      <c r="W17" s="22">
        <v>1</v>
      </c>
      <c r="X17" s="10">
        <v>0</v>
      </c>
      <c r="AA17" s="10">
        <v>0</v>
      </c>
      <c r="AB17" s="10">
        <v>0</v>
      </c>
      <c r="AC17" s="10">
        <v>0</v>
      </c>
      <c r="AE17" s="14">
        <v>0</v>
      </c>
      <c r="AG17" s="10">
        <v>0</v>
      </c>
      <c r="AJ17" s="10">
        <v>0</v>
      </c>
      <c r="AK17" s="14">
        <v>0</v>
      </c>
      <c r="AL17" s="10">
        <v>0</v>
      </c>
      <c r="AM17" s="14">
        <v>0</v>
      </c>
      <c r="AO17" s="10">
        <v>0</v>
      </c>
      <c r="AR17" s="10">
        <v>0</v>
      </c>
      <c r="AS17" s="14">
        <v>0</v>
      </c>
      <c r="AT17" s="10">
        <v>0</v>
      </c>
      <c r="AU17" s="14">
        <v>0</v>
      </c>
      <c r="AY17" s="16" t="s">
        <v>63</v>
      </c>
    </row>
    <row r="18" spans="1:51" x14ac:dyDescent="0.3">
      <c r="A18" s="7" t="s">
        <v>107</v>
      </c>
      <c r="B18" s="7" t="s">
        <v>106</v>
      </c>
      <c r="C18" s="8">
        <v>45.781780589999997</v>
      </c>
      <c r="D18" s="8">
        <v>4.8081832779999996</v>
      </c>
      <c r="E18" s="9">
        <v>202</v>
      </c>
      <c r="F18" t="s">
        <v>53</v>
      </c>
      <c r="G18" s="10" t="s">
        <v>54</v>
      </c>
      <c r="H18" s="11">
        <v>-1900</v>
      </c>
      <c r="I18" s="11">
        <v>-1800</v>
      </c>
      <c r="J18" s="10" t="s">
        <v>56</v>
      </c>
      <c r="K18" s="10" t="s">
        <v>57</v>
      </c>
      <c r="L18" s="12" t="s">
        <v>66</v>
      </c>
      <c r="M18" s="10" t="s">
        <v>77</v>
      </c>
      <c r="O18" s="10" t="s">
        <v>60</v>
      </c>
      <c r="P18" s="10" t="s">
        <v>61</v>
      </c>
      <c r="Q18" s="12"/>
      <c r="S18" s="23">
        <v>1695</v>
      </c>
      <c r="V18" s="10">
        <v>7</v>
      </c>
      <c r="W18" s="13">
        <v>33</v>
      </c>
      <c r="X18" s="10">
        <v>0</v>
      </c>
      <c r="AA18" s="10">
        <v>0</v>
      </c>
      <c r="AB18" s="10">
        <v>0</v>
      </c>
      <c r="AC18" s="10">
        <v>0</v>
      </c>
      <c r="AE18" s="14">
        <v>0</v>
      </c>
      <c r="AG18" s="10">
        <v>0</v>
      </c>
      <c r="AJ18" s="10">
        <v>0</v>
      </c>
      <c r="AK18" s="14">
        <v>0</v>
      </c>
      <c r="AL18" s="10">
        <v>0</v>
      </c>
      <c r="AM18" s="14">
        <v>0</v>
      </c>
      <c r="AO18" s="10">
        <v>0</v>
      </c>
      <c r="AR18" s="10">
        <v>0</v>
      </c>
      <c r="AS18" s="14">
        <v>0</v>
      </c>
      <c r="AT18" s="10">
        <v>0</v>
      </c>
      <c r="AU18" s="14">
        <v>0</v>
      </c>
      <c r="AY18" s="16" t="s">
        <v>68</v>
      </c>
    </row>
    <row r="19" spans="1:51" x14ac:dyDescent="0.3">
      <c r="A19" s="7" t="s">
        <v>108</v>
      </c>
      <c r="B19" s="7" t="s">
        <v>109</v>
      </c>
      <c r="C19" s="8">
        <v>43.613440910000001</v>
      </c>
      <c r="D19" s="8">
        <v>3.868516579</v>
      </c>
      <c r="E19" s="9">
        <v>45</v>
      </c>
      <c r="F19" t="s">
        <v>53</v>
      </c>
      <c r="G19" s="10" t="s">
        <v>54</v>
      </c>
      <c r="H19" s="11">
        <v>-1900</v>
      </c>
      <c r="I19" s="11">
        <v>-1650</v>
      </c>
      <c r="J19" s="10" t="s">
        <v>56</v>
      </c>
      <c r="K19" s="10" t="s">
        <v>57</v>
      </c>
      <c r="L19" s="12" t="s">
        <v>110</v>
      </c>
      <c r="M19" s="10" t="s">
        <v>73</v>
      </c>
      <c r="O19" s="10" t="s">
        <v>60</v>
      </c>
      <c r="P19" s="10" t="s">
        <v>61</v>
      </c>
      <c r="Q19" s="12"/>
      <c r="S19" s="12">
        <v>0</v>
      </c>
      <c r="V19" s="10">
        <v>0</v>
      </c>
      <c r="W19" s="13">
        <v>3</v>
      </c>
      <c r="X19" s="10">
        <v>0</v>
      </c>
      <c r="AA19" s="10">
        <v>0</v>
      </c>
      <c r="AB19" s="10">
        <v>0</v>
      </c>
      <c r="AC19" s="10">
        <v>0</v>
      </c>
      <c r="AE19" s="14">
        <v>0</v>
      </c>
      <c r="AG19" s="10">
        <v>0</v>
      </c>
      <c r="AJ19" s="14">
        <v>0</v>
      </c>
      <c r="AK19" s="14">
        <v>0</v>
      </c>
      <c r="AL19" s="10">
        <v>0</v>
      </c>
      <c r="AM19" s="14">
        <v>0</v>
      </c>
      <c r="AO19" s="10">
        <v>0</v>
      </c>
      <c r="AR19" s="10">
        <v>0</v>
      </c>
      <c r="AS19" s="14">
        <v>0</v>
      </c>
      <c r="AT19" s="10">
        <v>0</v>
      </c>
      <c r="AU19" s="14">
        <v>0</v>
      </c>
      <c r="AY19" s="16" t="s">
        <v>68</v>
      </c>
    </row>
    <row r="20" spans="1:51" x14ac:dyDescent="0.3">
      <c r="A20" s="7" t="s">
        <v>111</v>
      </c>
      <c r="B20" s="7" t="s">
        <v>112</v>
      </c>
      <c r="C20" s="8">
        <v>45.705435270000002</v>
      </c>
      <c r="D20" s="8">
        <v>3.1740367530000002</v>
      </c>
      <c r="E20" s="9">
        <v>383</v>
      </c>
      <c r="F20" t="s">
        <v>53</v>
      </c>
      <c r="G20" s="10" t="s">
        <v>54</v>
      </c>
      <c r="H20" s="11">
        <v>-2100</v>
      </c>
      <c r="I20" s="11">
        <v>-1800</v>
      </c>
      <c r="J20" s="10" t="s">
        <v>56</v>
      </c>
      <c r="K20" s="10" t="s">
        <v>57</v>
      </c>
      <c r="L20" s="12" t="s">
        <v>66</v>
      </c>
      <c r="M20" s="10" t="s">
        <v>77</v>
      </c>
      <c r="O20" s="10" t="s">
        <v>60</v>
      </c>
      <c r="P20" s="10" t="s">
        <v>61</v>
      </c>
      <c r="Q20" s="12"/>
      <c r="S20" s="12">
        <v>62</v>
      </c>
      <c r="V20" s="10">
        <v>0</v>
      </c>
      <c r="W20" s="13">
        <v>3</v>
      </c>
      <c r="X20" s="10">
        <v>0</v>
      </c>
      <c r="AA20" s="10">
        <v>0</v>
      </c>
      <c r="AB20" s="10">
        <v>0</v>
      </c>
      <c r="AC20" s="10">
        <v>0</v>
      </c>
      <c r="AE20" s="14">
        <v>0</v>
      </c>
      <c r="AG20" s="10">
        <v>0</v>
      </c>
      <c r="AJ20" s="14">
        <v>0</v>
      </c>
      <c r="AK20" s="14">
        <v>0</v>
      </c>
      <c r="AL20" s="10">
        <v>0</v>
      </c>
      <c r="AM20" s="14">
        <v>0</v>
      </c>
      <c r="AO20" s="10">
        <v>0</v>
      </c>
      <c r="AR20" s="10">
        <v>0</v>
      </c>
      <c r="AS20" s="14">
        <v>0</v>
      </c>
      <c r="AT20" s="10">
        <v>0</v>
      </c>
      <c r="AU20" s="14">
        <v>0</v>
      </c>
      <c r="AY20" s="16" t="s">
        <v>68</v>
      </c>
    </row>
    <row r="21" spans="1:51" x14ac:dyDescent="0.3">
      <c r="A21" s="7" t="s">
        <v>113</v>
      </c>
      <c r="B21" s="7" t="s">
        <v>114</v>
      </c>
      <c r="C21" s="8">
        <v>42.69659541</v>
      </c>
      <c r="D21" s="8">
        <v>2.8993695399999999</v>
      </c>
      <c r="E21" s="9">
        <v>38</v>
      </c>
      <c r="F21" t="s">
        <v>53</v>
      </c>
      <c r="G21" s="10" t="s">
        <v>54</v>
      </c>
      <c r="H21" s="11">
        <v>-2200</v>
      </c>
      <c r="I21" s="11">
        <v>-1700</v>
      </c>
      <c r="J21" s="10" t="s">
        <v>56</v>
      </c>
      <c r="K21" s="10" t="s">
        <v>57</v>
      </c>
      <c r="L21" s="12" t="s">
        <v>66</v>
      </c>
      <c r="M21" s="10" t="s">
        <v>77</v>
      </c>
      <c r="O21" s="10" t="s">
        <v>60</v>
      </c>
      <c r="P21" s="10" t="s">
        <v>61</v>
      </c>
      <c r="Q21" s="12"/>
      <c r="S21" s="12">
        <v>59</v>
      </c>
      <c r="V21" s="10">
        <v>0</v>
      </c>
      <c r="W21" s="13">
        <v>15</v>
      </c>
      <c r="X21" s="10">
        <v>0</v>
      </c>
      <c r="AA21" s="10">
        <v>0</v>
      </c>
      <c r="AB21" s="10">
        <v>0</v>
      </c>
      <c r="AC21" s="10">
        <v>0</v>
      </c>
      <c r="AE21" s="14">
        <v>0</v>
      </c>
      <c r="AG21" s="10">
        <v>0</v>
      </c>
      <c r="AJ21" s="10">
        <v>0</v>
      </c>
      <c r="AK21" s="14">
        <v>0</v>
      </c>
      <c r="AL21" s="10">
        <v>0</v>
      </c>
      <c r="AM21" s="14">
        <v>0</v>
      </c>
      <c r="AO21" s="10">
        <v>0</v>
      </c>
      <c r="AR21" s="10">
        <v>0</v>
      </c>
      <c r="AS21" s="14">
        <v>0</v>
      </c>
      <c r="AT21" s="10">
        <v>0</v>
      </c>
      <c r="AU21" s="14">
        <v>0</v>
      </c>
      <c r="AY21" s="16" t="s">
        <v>68</v>
      </c>
    </row>
    <row r="22" spans="1:51" x14ac:dyDescent="0.3">
      <c r="A22" s="7" t="s">
        <v>115</v>
      </c>
      <c r="B22" s="7" t="s">
        <v>116</v>
      </c>
      <c r="C22" s="8">
        <v>45.721058360000001</v>
      </c>
      <c r="D22" s="8">
        <v>3.0882467189999998</v>
      </c>
      <c r="E22" s="9">
        <v>601</v>
      </c>
      <c r="F22" t="s">
        <v>53</v>
      </c>
      <c r="G22" s="10" t="s">
        <v>54</v>
      </c>
      <c r="H22" s="11">
        <v>-2135</v>
      </c>
      <c r="I22" s="11">
        <v>-1830</v>
      </c>
      <c r="J22" s="10" t="s">
        <v>56</v>
      </c>
      <c r="K22" s="10" t="s">
        <v>57</v>
      </c>
      <c r="L22" s="12" t="s">
        <v>66</v>
      </c>
      <c r="M22" s="10" t="s">
        <v>73</v>
      </c>
      <c r="O22" s="10" t="s">
        <v>60</v>
      </c>
      <c r="P22" s="10" t="s">
        <v>61</v>
      </c>
      <c r="Q22" s="12"/>
      <c r="S22" s="12">
        <v>21300</v>
      </c>
      <c r="V22" s="10">
        <v>0</v>
      </c>
      <c r="W22" s="13">
        <v>1</v>
      </c>
      <c r="X22" s="10">
        <v>0</v>
      </c>
      <c r="AA22" s="10">
        <v>0</v>
      </c>
      <c r="AB22" s="10">
        <v>0</v>
      </c>
      <c r="AC22" s="10">
        <v>0</v>
      </c>
      <c r="AE22" s="14">
        <v>0</v>
      </c>
      <c r="AG22" s="10">
        <v>0</v>
      </c>
      <c r="AJ22" s="14">
        <v>0</v>
      </c>
      <c r="AK22" s="14">
        <v>0</v>
      </c>
      <c r="AL22" s="10">
        <v>0</v>
      </c>
      <c r="AM22" s="14">
        <v>0</v>
      </c>
      <c r="AO22" s="10">
        <v>0</v>
      </c>
      <c r="AR22" s="10">
        <v>0</v>
      </c>
      <c r="AS22" s="14">
        <v>0</v>
      </c>
      <c r="AT22" s="10">
        <v>0</v>
      </c>
      <c r="AU22" s="14">
        <v>0</v>
      </c>
      <c r="AY22" s="16" t="s">
        <v>68</v>
      </c>
    </row>
    <row r="23" spans="1:51" x14ac:dyDescent="0.3">
      <c r="A23" s="7" t="s">
        <v>117</v>
      </c>
      <c r="B23" s="7" t="s">
        <v>118</v>
      </c>
      <c r="C23" s="8">
        <v>43.484149619999997</v>
      </c>
      <c r="D23" s="8">
        <v>5.6238079939999999</v>
      </c>
      <c r="E23" s="9">
        <v>256</v>
      </c>
      <c r="F23" t="s">
        <v>53</v>
      </c>
      <c r="G23" s="10" t="s">
        <v>54</v>
      </c>
      <c r="H23" s="11">
        <v>-2200</v>
      </c>
      <c r="I23" s="11">
        <v>-1600</v>
      </c>
      <c r="J23" s="10" t="s">
        <v>56</v>
      </c>
      <c r="K23" s="10" t="s">
        <v>57</v>
      </c>
      <c r="L23" s="12" t="s">
        <v>66</v>
      </c>
      <c r="M23" s="10" t="s">
        <v>119</v>
      </c>
      <c r="N23" s="10" t="s">
        <v>119</v>
      </c>
      <c r="O23" s="10" t="s">
        <v>60</v>
      </c>
      <c r="P23" s="10" t="s">
        <v>61</v>
      </c>
      <c r="Q23" s="17"/>
      <c r="S23" s="12">
        <v>8</v>
      </c>
      <c r="V23" s="10">
        <v>0</v>
      </c>
      <c r="W23" s="13">
        <v>3</v>
      </c>
      <c r="X23" s="10">
        <v>0</v>
      </c>
      <c r="AA23" s="10">
        <v>0</v>
      </c>
      <c r="AB23" s="10">
        <v>0</v>
      </c>
      <c r="AC23" s="10">
        <v>0</v>
      </c>
      <c r="AE23" s="14">
        <v>0</v>
      </c>
      <c r="AG23" s="10">
        <v>0</v>
      </c>
      <c r="AJ23" s="14">
        <v>0</v>
      </c>
      <c r="AK23" s="14">
        <v>0</v>
      </c>
      <c r="AL23" s="10">
        <v>0</v>
      </c>
      <c r="AM23" s="14">
        <v>0</v>
      </c>
      <c r="AO23" s="14">
        <v>0</v>
      </c>
      <c r="AR23" s="10">
        <v>0</v>
      </c>
      <c r="AS23" s="14">
        <v>0</v>
      </c>
      <c r="AT23" s="14">
        <v>0</v>
      </c>
      <c r="AU23" s="14">
        <v>0</v>
      </c>
      <c r="AW23" t="s">
        <v>120</v>
      </c>
      <c r="AY23" s="16" t="s">
        <v>85</v>
      </c>
    </row>
    <row r="24" spans="1:51" x14ac:dyDescent="0.3">
      <c r="A24" s="7" t="s">
        <v>121</v>
      </c>
      <c r="B24" s="7" t="s">
        <v>122</v>
      </c>
      <c r="C24" s="8">
        <v>44.64827356</v>
      </c>
      <c r="D24" s="8">
        <v>4.9340639599999996</v>
      </c>
      <c r="E24" s="9">
        <v>254</v>
      </c>
      <c r="F24" t="s">
        <v>53</v>
      </c>
      <c r="G24" s="10" t="s">
        <v>54</v>
      </c>
      <c r="H24" s="11">
        <v>-2200</v>
      </c>
      <c r="I24" s="11">
        <v>-2000</v>
      </c>
      <c r="J24" s="10" t="s">
        <v>56</v>
      </c>
      <c r="K24" s="10" t="s">
        <v>57</v>
      </c>
      <c r="L24" s="12" t="s">
        <v>66</v>
      </c>
      <c r="M24" s="10" t="s">
        <v>77</v>
      </c>
      <c r="O24" s="10" t="s">
        <v>60</v>
      </c>
      <c r="P24" s="10" t="s">
        <v>61</v>
      </c>
      <c r="Q24" s="12"/>
      <c r="S24" s="12">
        <v>1844</v>
      </c>
      <c r="V24" s="10">
        <v>0</v>
      </c>
      <c r="W24" s="13">
        <v>32</v>
      </c>
      <c r="X24" s="10">
        <v>1</v>
      </c>
      <c r="AA24" s="10">
        <v>1</v>
      </c>
      <c r="AB24" s="10">
        <v>0</v>
      </c>
      <c r="AC24" s="10">
        <v>1</v>
      </c>
      <c r="AE24" s="14">
        <v>0</v>
      </c>
      <c r="AG24" s="10">
        <v>0</v>
      </c>
      <c r="AJ24" s="14">
        <v>0</v>
      </c>
      <c r="AK24" s="14">
        <v>0</v>
      </c>
      <c r="AL24" s="10">
        <v>0</v>
      </c>
      <c r="AM24" s="14">
        <v>0</v>
      </c>
      <c r="AO24" s="14">
        <v>0</v>
      </c>
      <c r="AR24" s="10">
        <v>0</v>
      </c>
      <c r="AS24" s="14">
        <v>0</v>
      </c>
      <c r="AT24" s="14">
        <v>0</v>
      </c>
      <c r="AU24" s="14">
        <v>0</v>
      </c>
      <c r="AY24" s="16" t="s">
        <v>68</v>
      </c>
    </row>
    <row r="25" spans="1:51" x14ac:dyDescent="0.3">
      <c r="A25" s="7" t="s">
        <v>123</v>
      </c>
      <c r="B25" s="7" t="s">
        <v>124</v>
      </c>
      <c r="C25" s="8">
        <v>45.249405619999997</v>
      </c>
      <c r="D25" s="8">
        <v>6.8152277620000001</v>
      </c>
      <c r="E25" s="9">
        <v>1350</v>
      </c>
      <c r="F25" t="s">
        <v>53</v>
      </c>
      <c r="G25" s="10" t="s">
        <v>54</v>
      </c>
      <c r="H25" s="11">
        <v>-2200</v>
      </c>
      <c r="I25" s="11">
        <v>-1650</v>
      </c>
      <c r="J25" s="10" t="s">
        <v>56</v>
      </c>
      <c r="K25" s="10" t="s">
        <v>57</v>
      </c>
      <c r="L25" s="12" t="s">
        <v>66</v>
      </c>
      <c r="M25" s="10" t="s">
        <v>67</v>
      </c>
      <c r="N25" s="10" t="s">
        <v>119</v>
      </c>
      <c r="O25" s="10" t="s">
        <v>60</v>
      </c>
      <c r="P25" s="10" t="s">
        <v>61</v>
      </c>
      <c r="Q25" s="12"/>
      <c r="S25" s="10">
        <v>7</v>
      </c>
      <c r="V25" s="10">
        <v>4</v>
      </c>
      <c r="W25" s="13">
        <v>4</v>
      </c>
      <c r="X25" s="10">
        <v>0</v>
      </c>
      <c r="AA25" s="10">
        <v>0</v>
      </c>
      <c r="AB25" s="10">
        <v>0</v>
      </c>
      <c r="AC25" s="10">
        <v>0</v>
      </c>
      <c r="AE25" s="14">
        <v>0</v>
      </c>
      <c r="AG25" s="10">
        <v>1</v>
      </c>
      <c r="AJ25" s="10">
        <v>3</v>
      </c>
      <c r="AK25" s="14">
        <v>0</v>
      </c>
      <c r="AL25" s="10">
        <v>2</v>
      </c>
      <c r="AM25" s="14">
        <v>0</v>
      </c>
      <c r="AN25" s="10" t="s">
        <v>62</v>
      </c>
      <c r="AO25" s="10">
        <v>0</v>
      </c>
      <c r="AR25" s="10">
        <v>0</v>
      </c>
      <c r="AS25" s="14">
        <v>0</v>
      </c>
      <c r="AT25" s="10">
        <v>0</v>
      </c>
      <c r="AU25" s="14">
        <v>0</v>
      </c>
      <c r="AW25" t="s">
        <v>125</v>
      </c>
      <c r="AY25" s="16" t="s">
        <v>81</v>
      </c>
    </row>
    <row r="26" spans="1:51" x14ac:dyDescent="0.3">
      <c r="A26" s="7" t="s">
        <v>126</v>
      </c>
      <c r="B26" s="7" t="s">
        <v>127</v>
      </c>
      <c r="C26" s="8">
        <v>43.416666999999997</v>
      </c>
      <c r="D26" s="8">
        <v>3.3666670000000001</v>
      </c>
      <c r="E26" s="9">
        <v>24</v>
      </c>
      <c r="F26" t="s">
        <v>53</v>
      </c>
      <c r="G26" s="10" t="s">
        <v>54</v>
      </c>
      <c r="H26" s="11">
        <v>-2200</v>
      </c>
      <c r="I26" s="11">
        <v>-1600</v>
      </c>
      <c r="J26" s="10" t="s">
        <v>56</v>
      </c>
      <c r="K26" s="10" t="s">
        <v>57</v>
      </c>
      <c r="L26" s="12" t="s">
        <v>66</v>
      </c>
      <c r="M26" s="10" t="s">
        <v>73</v>
      </c>
      <c r="O26" s="10" t="s">
        <v>60</v>
      </c>
      <c r="P26" s="10" t="s">
        <v>61</v>
      </c>
      <c r="Q26" s="12"/>
      <c r="S26" s="12">
        <v>21</v>
      </c>
      <c r="V26" s="10">
        <v>0</v>
      </c>
      <c r="W26" s="13">
        <v>2</v>
      </c>
      <c r="X26" s="10">
        <v>0</v>
      </c>
      <c r="AA26" s="10">
        <v>0</v>
      </c>
      <c r="AB26" s="10">
        <v>0</v>
      </c>
      <c r="AC26" s="10">
        <v>0</v>
      </c>
      <c r="AE26" s="14">
        <v>0</v>
      </c>
      <c r="AG26" s="10">
        <v>0</v>
      </c>
      <c r="AJ26" s="14">
        <v>0</v>
      </c>
      <c r="AK26" s="14">
        <v>0</v>
      </c>
      <c r="AL26" s="10">
        <v>0</v>
      </c>
      <c r="AM26" s="14">
        <v>0</v>
      </c>
      <c r="AO26" s="10">
        <v>0</v>
      </c>
      <c r="AR26" s="10">
        <v>0</v>
      </c>
      <c r="AS26" s="14">
        <v>0</v>
      </c>
      <c r="AT26" s="10">
        <v>0</v>
      </c>
      <c r="AU26" s="14">
        <v>0</v>
      </c>
      <c r="AY26" s="16" t="s">
        <v>128</v>
      </c>
    </row>
    <row r="27" spans="1:51" x14ac:dyDescent="0.3">
      <c r="A27" s="7" t="s">
        <v>129</v>
      </c>
      <c r="B27" s="7" t="s">
        <v>130</v>
      </c>
      <c r="C27" s="8">
        <v>43.334507969999997</v>
      </c>
      <c r="D27" s="8">
        <v>2.313658969</v>
      </c>
      <c r="E27" s="9">
        <v>345</v>
      </c>
      <c r="F27" t="s">
        <v>53</v>
      </c>
      <c r="G27" s="10" t="s">
        <v>54</v>
      </c>
      <c r="H27" s="11">
        <v>-2200</v>
      </c>
      <c r="I27" s="11">
        <v>-1600</v>
      </c>
      <c r="J27" s="10" t="s">
        <v>56</v>
      </c>
      <c r="K27" s="10" t="s">
        <v>57</v>
      </c>
      <c r="L27" s="12" t="s">
        <v>66</v>
      </c>
      <c r="M27" s="10" t="s">
        <v>77</v>
      </c>
      <c r="O27" s="10" t="s">
        <v>60</v>
      </c>
      <c r="P27" s="10" t="s">
        <v>61</v>
      </c>
      <c r="Q27" s="17"/>
      <c r="S27" s="12">
        <v>0</v>
      </c>
      <c r="V27" s="10">
        <v>0</v>
      </c>
      <c r="W27" s="13">
        <v>2</v>
      </c>
      <c r="X27" s="10">
        <v>0</v>
      </c>
      <c r="AA27" s="10">
        <v>0</v>
      </c>
      <c r="AB27" s="10">
        <v>0</v>
      </c>
      <c r="AC27" s="10">
        <v>0</v>
      </c>
      <c r="AE27" s="14">
        <v>0</v>
      </c>
      <c r="AG27" s="10">
        <v>0</v>
      </c>
      <c r="AJ27" s="14">
        <v>0</v>
      </c>
      <c r="AK27" s="14">
        <v>0</v>
      </c>
      <c r="AL27" s="10">
        <v>0</v>
      </c>
      <c r="AM27" s="14">
        <v>0</v>
      </c>
      <c r="AO27" s="14">
        <v>0</v>
      </c>
      <c r="AR27" s="10">
        <v>0</v>
      </c>
      <c r="AS27" s="14">
        <v>0</v>
      </c>
      <c r="AT27" s="14">
        <v>0</v>
      </c>
      <c r="AU27" s="14">
        <v>0</v>
      </c>
      <c r="AY27" s="16" t="s">
        <v>131</v>
      </c>
    </row>
    <row r="28" spans="1:51" x14ac:dyDescent="0.3">
      <c r="A28" s="7" t="s">
        <v>64</v>
      </c>
      <c r="B28" s="7" t="s">
        <v>65</v>
      </c>
      <c r="C28" s="8">
        <v>45.960847510000001</v>
      </c>
      <c r="D28" s="8">
        <v>5.3729257779999999</v>
      </c>
      <c r="E28" s="9">
        <v>360</v>
      </c>
      <c r="F28" t="s">
        <v>53</v>
      </c>
      <c r="G28" s="10" t="s">
        <v>54</v>
      </c>
      <c r="H28" s="11">
        <v>-1600</v>
      </c>
      <c r="I28" s="11">
        <v>-1500</v>
      </c>
      <c r="J28" s="10" t="s">
        <v>132</v>
      </c>
      <c r="K28" s="10" t="s">
        <v>57</v>
      </c>
      <c r="L28" s="12" t="s">
        <v>133</v>
      </c>
      <c r="M28" s="10" t="s">
        <v>67</v>
      </c>
      <c r="O28" s="10" t="s">
        <v>60</v>
      </c>
      <c r="P28" s="10" t="s">
        <v>61</v>
      </c>
      <c r="Q28" s="17"/>
      <c r="S28" s="12">
        <v>7</v>
      </c>
      <c r="V28" s="10">
        <v>0</v>
      </c>
      <c r="W28" s="13">
        <v>4</v>
      </c>
      <c r="X28" s="10">
        <v>0</v>
      </c>
      <c r="AA28" s="10">
        <v>0</v>
      </c>
      <c r="AB28" s="10">
        <v>0</v>
      </c>
      <c r="AC28" s="10">
        <v>0</v>
      </c>
      <c r="AE28" s="14">
        <v>0</v>
      </c>
      <c r="AG28" s="14">
        <v>0</v>
      </c>
      <c r="AJ28" s="14">
        <v>0</v>
      </c>
      <c r="AK28" s="14">
        <v>0</v>
      </c>
      <c r="AL28" s="14">
        <v>0</v>
      </c>
      <c r="AM28" s="14">
        <v>0</v>
      </c>
      <c r="AO28" s="14">
        <v>0</v>
      </c>
      <c r="AR28" s="10">
        <v>0</v>
      </c>
      <c r="AS28" s="14">
        <v>0</v>
      </c>
      <c r="AT28" s="14">
        <v>0</v>
      </c>
      <c r="AU28" s="14">
        <v>0</v>
      </c>
      <c r="AY28" s="16" t="s">
        <v>68</v>
      </c>
    </row>
    <row r="29" spans="1:51" x14ac:dyDescent="0.3">
      <c r="A29" s="7" t="s">
        <v>64</v>
      </c>
      <c r="B29" s="7" t="s">
        <v>65</v>
      </c>
      <c r="C29" s="8">
        <v>45.960847510000001</v>
      </c>
      <c r="D29" s="8">
        <v>5.3729257779999999</v>
      </c>
      <c r="E29" s="9">
        <v>360</v>
      </c>
      <c r="F29" t="s">
        <v>53</v>
      </c>
      <c r="G29" s="10" t="s">
        <v>54</v>
      </c>
      <c r="H29" s="11">
        <v>-1500</v>
      </c>
      <c r="I29" s="11">
        <v>-1425</v>
      </c>
      <c r="J29" s="10" t="s">
        <v>132</v>
      </c>
      <c r="K29" s="10" t="s">
        <v>57</v>
      </c>
      <c r="L29" s="12" t="s">
        <v>134</v>
      </c>
      <c r="M29" s="10" t="s">
        <v>67</v>
      </c>
      <c r="O29" s="10" t="s">
        <v>60</v>
      </c>
      <c r="P29" s="10" t="s">
        <v>61</v>
      </c>
      <c r="Q29" s="17"/>
      <c r="S29" s="12">
        <v>10</v>
      </c>
      <c r="V29" s="10">
        <v>0</v>
      </c>
      <c r="W29" s="13">
        <v>2</v>
      </c>
      <c r="X29" s="10">
        <v>0</v>
      </c>
      <c r="AA29" s="10">
        <v>0</v>
      </c>
      <c r="AB29" s="10">
        <v>0</v>
      </c>
      <c r="AC29" s="10">
        <v>0</v>
      </c>
      <c r="AE29" s="14">
        <v>0</v>
      </c>
      <c r="AG29" s="14">
        <v>0</v>
      </c>
      <c r="AJ29" s="14">
        <v>0</v>
      </c>
      <c r="AK29" s="14">
        <v>0</v>
      </c>
      <c r="AL29" s="14">
        <v>0</v>
      </c>
      <c r="AM29" s="14">
        <v>0</v>
      </c>
      <c r="AO29" s="14">
        <v>0</v>
      </c>
      <c r="AR29" s="10">
        <v>0</v>
      </c>
      <c r="AS29" s="14">
        <v>0</v>
      </c>
      <c r="AT29" s="14">
        <v>0</v>
      </c>
      <c r="AU29" s="14">
        <v>0</v>
      </c>
      <c r="AY29" s="16" t="s">
        <v>68</v>
      </c>
    </row>
    <row r="30" spans="1:51" x14ac:dyDescent="0.3">
      <c r="A30" s="7" t="s">
        <v>135</v>
      </c>
      <c r="B30" s="7" t="s">
        <v>136</v>
      </c>
      <c r="C30" s="8">
        <v>45.534991310000002</v>
      </c>
      <c r="D30" s="8">
        <v>4.2765042700000002</v>
      </c>
      <c r="E30" s="9">
        <v>388</v>
      </c>
      <c r="F30" t="s">
        <v>53</v>
      </c>
      <c r="G30" s="10" t="s">
        <v>54</v>
      </c>
      <c r="H30" s="11">
        <v>-1600</v>
      </c>
      <c r="I30" s="11">
        <v>-1250</v>
      </c>
      <c r="J30" s="10" t="s">
        <v>132</v>
      </c>
      <c r="K30" s="10" t="s">
        <v>57</v>
      </c>
      <c r="L30" s="12" t="s">
        <v>137</v>
      </c>
      <c r="M30" s="10" t="s">
        <v>59</v>
      </c>
      <c r="O30" s="10" t="s">
        <v>60</v>
      </c>
      <c r="P30" s="10" t="s">
        <v>61</v>
      </c>
      <c r="Q30" s="12"/>
      <c r="S30" s="12">
        <v>2</v>
      </c>
      <c r="V30" s="10">
        <v>0</v>
      </c>
      <c r="W30" s="13">
        <v>7</v>
      </c>
      <c r="X30" s="10">
        <v>0</v>
      </c>
      <c r="AA30" s="10">
        <v>0</v>
      </c>
      <c r="AB30" s="10">
        <v>0</v>
      </c>
      <c r="AC30" s="10">
        <v>0</v>
      </c>
      <c r="AE30" s="14">
        <v>0</v>
      </c>
      <c r="AG30" s="10">
        <v>0</v>
      </c>
      <c r="AJ30" s="14">
        <v>0</v>
      </c>
      <c r="AK30" s="14">
        <v>0</v>
      </c>
      <c r="AL30" s="10">
        <v>0</v>
      </c>
      <c r="AM30" s="14">
        <v>0</v>
      </c>
      <c r="AO30" s="10">
        <v>0</v>
      </c>
      <c r="AR30" s="10">
        <v>0</v>
      </c>
      <c r="AS30" s="14">
        <v>0</v>
      </c>
      <c r="AT30" s="10">
        <v>0</v>
      </c>
      <c r="AU30" s="14">
        <v>0</v>
      </c>
      <c r="AY30" s="16" t="s">
        <v>63</v>
      </c>
    </row>
    <row r="31" spans="1:51" s="15" customFormat="1" x14ac:dyDescent="0.3">
      <c r="A31" s="7" t="s">
        <v>138</v>
      </c>
      <c r="B31" s="7" t="s">
        <v>139</v>
      </c>
      <c r="C31" s="8">
        <v>43.713803839999997</v>
      </c>
      <c r="D31" s="8">
        <v>6.1335275759999996</v>
      </c>
      <c r="E31" s="9">
        <v>595</v>
      </c>
      <c r="F31" t="s">
        <v>53</v>
      </c>
      <c r="G31" s="10" t="s">
        <v>54</v>
      </c>
      <c r="H31" s="11">
        <v>-1600</v>
      </c>
      <c r="I31" s="11">
        <v>-750</v>
      </c>
      <c r="J31" s="10" t="s">
        <v>132</v>
      </c>
      <c r="K31" s="10" t="s">
        <v>57</v>
      </c>
      <c r="L31" s="12" t="s">
        <v>140</v>
      </c>
      <c r="M31" s="10" t="s">
        <v>67</v>
      </c>
      <c r="N31" s="10"/>
      <c r="O31" s="10" t="s">
        <v>60</v>
      </c>
      <c r="P31" s="10" t="s">
        <v>60</v>
      </c>
      <c r="Q31" s="12"/>
      <c r="R31" s="10"/>
      <c r="S31" s="12">
        <v>165</v>
      </c>
      <c r="T31" s="10"/>
      <c r="U31" s="10"/>
      <c r="V31" s="10">
        <v>22</v>
      </c>
      <c r="W31" s="13">
        <v>1</v>
      </c>
      <c r="X31" s="10">
        <v>0</v>
      </c>
      <c r="Y31" s="10"/>
      <c r="Z31" s="10"/>
      <c r="AA31" s="10">
        <v>0</v>
      </c>
      <c r="AB31" s="10">
        <v>0</v>
      </c>
      <c r="AC31" s="10">
        <v>0</v>
      </c>
      <c r="AD31" s="10"/>
      <c r="AE31" s="14">
        <v>0</v>
      </c>
      <c r="AF31" s="10"/>
      <c r="AG31" s="10">
        <v>0</v>
      </c>
      <c r="AH31" s="10"/>
      <c r="AI31" s="10"/>
      <c r="AJ31" s="10">
        <v>0</v>
      </c>
      <c r="AK31" s="14">
        <v>0</v>
      </c>
      <c r="AL31" s="10">
        <v>0</v>
      </c>
      <c r="AM31" s="14">
        <v>0</v>
      </c>
      <c r="AN31" s="10"/>
      <c r="AO31" s="10">
        <v>0</v>
      </c>
      <c r="AP31" s="10"/>
      <c r="AQ31" s="10"/>
      <c r="AR31" s="10">
        <v>0</v>
      </c>
      <c r="AS31" s="14">
        <v>0</v>
      </c>
      <c r="AT31" s="10">
        <v>0</v>
      </c>
      <c r="AU31" s="14">
        <v>0</v>
      </c>
      <c r="AV31" s="10"/>
      <c r="AW31"/>
      <c r="AY31" s="16" t="s">
        <v>78</v>
      </c>
    </row>
    <row r="32" spans="1:51" x14ac:dyDescent="0.3">
      <c r="A32" s="7" t="s">
        <v>141</v>
      </c>
      <c r="B32" s="7" t="s">
        <v>142</v>
      </c>
      <c r="C32" s="8">
        <v>42.720809510000002</v>
      </c>
      <c r="D32" s="8">
        <v>2.6237490239999999</v>
      </c>
      <c r="E32" s="9">
        <v>336</v>
      </c>
      <c r="F32" t="s">
        <v>53</v>
      </c>
      <c r="G32" s="10" t="s">
        <v>54</v>
      </c>
      <c r="H32" s="11">
        <v>-1600</v>
      </c>
      <c r="I32" s="11">
        <v>-1350</v>
      </c>
      <c r="J32" s="10" t="s">
        <v>132</v>
      </c>
      <c r="K32" s="10" t="s">
        <v>57</v>
      </c>
      <c r="L32" s="12" t="s">
        <v>137</v>
      </c>
      <c r="M32" s="10" t="s">
        <v>67</v>
      </c>
      <c r="O32" s="10" t="s">
        <v>60</v>
      </c>
      <c r="P32" s="10" t="s">
        <v>60</v>
      </c>
      <c r="Q32" s="17"/>
      <c r="S32" s="12">
        <v>4</v>
      </c>
      <c r="V32" s="10">
        <v>0</v>
      </c>
      <c r="W32" s="13">
        <v>1</v>
      </c>
      <c r="X32" s="10">
        <v>0</v>
      </c>
      <c r="AA32" s="10">
        <v>0</v>
      </c>
      <c r="AB32" s="10">
        <v>0</v>
      </c>
      <c r="AC32" s="10">
        <v>0</v>
      </c>
      <c r="AE32" s="14">
        <v>0</v>
      </c>
      <c r="AG32" s="10">
        <v>0</v>
      </c>
      <c r="AJ32" s="14">
        <v>0</v>
      </c>
      <c r="AK32" s="14">
        <v>0</v>
      </c>
      <c r="AL32" s="10">
        <v>0</v>
      </c>
      <c r="AM32" s="14">
        <v>0</v>
      </c>
      <c r="AO32" s="10">
        <v>0</v>
      </c>
      <c r="AR32" s="10">
        <v>0</v>
      </c>
      <c r="AS32" s="14">
        <v>0</v>
      </c>
      <c r="AT32" s="10">
        <v>0</v>
      </c>
      <c r="AU32" s="14">
        <v>0</v>
      </c>
      <c r="AY32" s="16" t="s">
        <v>96</v>
      </c>
    </row>
    <row r="33" spans="1:51" x14ac:dyDescent="0.3">
      <c r="A33" s="7" t="s">
        <v>79</v>
      </c>
      <c r="B33" s="7" t="s">
        <v>80</v>
      </c>
      <c r="C33" s="8">
        <v>45.664798050000002</v>
      </c>
      <c r="D33" s="8">
        <v>6.7663790390000003</v>
      </c>
      <c r="E33" s="9">
        <v>966</v>
      </c>
      <c r="F33" t="s">
        <v>53</v>
      </c>
      <c r="G33" s="10" t="s">
        <v>54</v>
      </c>
      <c r="H33" s="11">
        <v>-1500</v>
      </c>
      <c r="I33" s="11">
        <v>-1350</v>
      </c>
      <c r="J33" s="10" t="s">
        <v>132</v>
      </c>
      <c r="K33" s="10" t="s">
        <v>57</v>
      </c>
      <c r="L33" s="12" t="s">
        <v>143</v>
      </c>
      <c r="M33" s="10" t="s">
        <v>77</v>
      </c>
      <c r="O33" s="10" t="s">
        <v>60</v>
      </c>
      <c r="P33" s="10" t="s">
        <v>61</v>
      </c>
      <c r="Q33" s="12"/>
      <c r="S33" s="10">
        <v>119</v>
      </c>
      <c r="V33" s="10">
        <v>26</v>
      </c>
      <c r="W33" s="13">
        <v>1</v>
      </c>
      <c r="X33" s="10">
        <v>0</v>
      </c>
      <c r="AA33" s="10">
        <v>0</v>
      </c>
      <c r="AB33" s="10">
        <v>0</v>
      </c>
      <c r="AC33" s="10">
        <v>0</v>
      </c>
      <c r="AE33" s="14">
        <v>0</v>
      </c>
      <c r="AG33" s="10">
        <v>1</v>
      </c>
      <c r="AJ33" s="10">
        <v>1</v>
      </c>
      <c r="AK33" s="14">
        <v>0</v>
      </c>
      <c r="AL33" s="10">
        <v>1</v>
      </c>
      <c r="AM33" s="14">
        <v>0</v>
      </c>
      <c r="AN33" s="10" t="s">
        <v>62</v>
      </c>
      <c r="AO33" s="10">
        <v>0</v>
      </c>
      <c r="AR33" s="10">
        <v>0</v>
      </c>
      <c r="AS33" s="14">
        <v>0</v>
      </c>
      <c r="AT33" s="10">
        <v>0</v>
      </c>
      <c r="AU33" s="14">
        <v>0</v>
      </c>
      <c r="AY33" s="16" t="s">
        <v>81</v>
      </c>
    </row>
    <row r="34" spans="1:51" x14ac:dyDescent="0.3">
      <c r="A34" s="7" t="s">
        <v>144</v>
      </c>
      <c r="B34" s="7" t="s">
        <v>145</v>
      </c>
      <c r="C34" s="8">
        <v>43.25142065</v>
      </c>
      <c r="D34" s="8">
        <v>2.110298952</v>
      </c>
      <c r="E34" s="9">
        <v>136</v>
      </c>
      <c r="F34" t="s">
        <v>53</v>
      </c>
      <c r="G34" s="10" t="s">
        <v>54</v>
      </c>
      <c r="H34" s="11">
        <v>-1425</v>
      </c>
      <c r="I34" s="11">
        <v>-1264</v>
      </c>
      <c r="J34" s="10" t="s">
        <v>132</v>
      </c>
      <c r="K34" s="10" t="s">
        <v>57</v>
      </c>
      <c r="L34" s="12" t="s">
        <v>137</v>
      </c>
      <c r="M34" s="10" t="s">
        <v>77</v>
      </c>
      <c r="O34" s="10" t="s">
        <v>60</v>
      </c>
      <c r="P34" s="10" t="s">
        <v>61</v>
      </c>
      <c r="Q34" s="17"/>
      <c r="S34" s="12">
        <v>20</v>
      </c>
      <c r="V34" s="10">
        <v>0</v>
      </c>
      <c r="W34" s="13">
        <v>1</v>
      </c>
      <c r="X34" s="10">
        <v>0</v>
      </c>
      <c r="AA34" s="10">
        <v>0</v>
      </c>
      <c r="AB34" s="10">
        <v>0</v>
      </c>
      <c r="AC34" s="10">
        <v>0</v>
      </c>
      <c r="AE34" s="14">
        <v>0</v>
      </c>
      <c r="AG34" s="10">
        <v>0</v>
      </c>
      <c r="AJ34" s="14">
        <v>0</v>
      </c>
      <c r="AK34" s="14">
        <v>0</v>
      </c>
      <c r="AL34" s="10">
        <v>0</v>
      </c>
      <c r="AM34" s="14">
        <v>0</v>
      </c>
      <c r="AO34" s="14">
        <v>0</v>
      </c>
      <c r="AR34" s="10">
        <v>0</v>
      </c>
      <c r="AS34" s="14">
        <v>0</v>
      </c>
      <c r="AT34" s="14">
        <v>0</v>
      </c>
      <c r="AU34" s="14">
        <v>0</v>
      </c>
      <c r="AY34" s="16" t="s">
        <v>93</v>
      </c>
    </row>
    <row r="35" spans="1:51" x14ac:dyDescent="0.3">
      <c r="A35" s="7" t="s">
        <v>146</v>
      </c>
      <c r="B35" s="7" t="s">
        <v>147</v>
      </c>
      <c r="C35" s="8">
        <v>43.323017319999998</v>
      </c>
      <c r="D35" s="8">
        <v>1.9607375250000001</v>
      </c>
      <c r="E35" s="9">
        <v>165</v>
      </c>
      <c r="F35" t="s">
        <v>53</v>
      </c>
      <c r="G35" s="10" t="s">
        <v>54</v>
      </c>
      <c r="H35" s="11">
        <v>-1800</v>
      </c>
      <c r="I35" s="11">
        <v>-1400</v>
      </c>
      <c r="J35" s="10" t="s">
        <v>132</v>
      </c>
      <c r="K35" s="10" t="s">
        <v>57</v>
      </c>
      <c r="L35" s="12" t="s">
        <v>137</v>
      </c>
      <c r="M35" s="10" t="s">
        <v>92</v>
      </c>
      <c r="O35" s="10" t="s">
        <v>60</v>
      </c>
      <c r="P35" s="10" t="s">
        <v>61</v>
      </c>
      <c r="Q35"/>
      <c r="S35" s="12">
        <v>1</v>
      </c>
      <c r="V35" s="10">
        <v>0</v>
      </c>
      <c r="W35" s="13">
        <v>1</v>
      </c>
      <c r="X35" s="10">
        <v>0</v>
      </c>
      <c r="AA35" s="10">
        <v>0</v>
      </c>
      <c r="AB35" s="10">
        <v>0</v>
      </c>
      <c r="AC35" s="10">
        <v>0</v>
      </c>
      <c r="AE35" s="14">
        <v>0</v>
      </c>
      <c r="AG35" s="10">
        <v>0</v>
      </c>
      <c r="AJ35" s="14">
        <v>0</v>
      </c>
      <c r="AK35" s="14">
        <v>0</v>
      </c>
      <c r="AL35" s="10">
        <v>0</v>
      </c>
      <c r="AM35" s="14">
        <v>0</v>
      </c>
      <c r="AO35" s="14">
        <v>0</v>
      </c>
      <c r="AR35" s="10">
        <v>0</v>
      </c>
      <c r="AS35" s="14">
        <v>0</v>
      </c>
      <c r="AT35" s="14">
        <v>0</v>
      </c>
      <c r="AU35" s="14">
        <v>0</v>
      </c>
      <c r="AY35" s="16" t="s">
        <v>93</v>
      </c>
    </row>
    <row r="36" spans="1:51" x14ac:dyDescent="0.3">
      <c r="A36" s="7" t="s">
        <v>148</v>
      </c>
      <c r="B36" s="7" t="s">
        <v>149</v>
      </c>
      <c r="C36" s="8">
        <v>43.33279632</v>
      </c>
      <c r="D36" s="8">
        <v>2.5163548250000001</v>
      </c>
      <c r="E36" s="9">
        <v>319</v>
      </c>
      <c r="F36" t="s">
        <v>53</v>
      </c>
      <c r="G36" s="10" t="s">
        <v>54</v>
      </c>
      <c r="H36" s="11">
        <v>-1600</v>
      </c>
      <c r="I36" s="11">
        <v>-1200</v>
      </c>
      <c r="J36" s="10" t="s">
        <v>132</v>
      </c>
      <c r="K36" s="10" t="s">
        <v>57</v>
      </c>
      <c r="L36" s="12" t="s">
        <v>137</v>
      </c>
      <c r="M36" s="10" t="s">
        <v>67</v>
      </c>
      <c r="O36" s="10" t="s">
        <v>60</v>
      </c>
      <c r="P36" s="10" t="s">
        <v>60</v>
      </c>
      <c r="Q36" s="12"/>
      <c r="S36" s="12">
        <v>220</v>
      </c>
      <c r="V36" s="10">
        <v>1</v>
      </c>
      <c r="W36" s="13">
        <v>1</v>
      </c>
      <c r="X36" s="10">
        <v>0</v>
      </c>
      <c r="AA36" s="10">
        <v>0</v>
      </c>
      <c r="AB36" s="10">
        <v>0</v>
      </c>
      <c r="AC36" s="10">
        <v>0</v>
      </c>
      <c r="AE36" s="14">
        <v>0</v>
      </c>
      <c r="AG36" s="10">
        <v>0</v>
      </c>
      <c r="AJ36" s="14">
        <v>0</v>
      </c>
      <c r="AK36" s="14">
        <v>0</v>
      </c>
      <c r="AL36" s="10">
        <v>0</v>
      </c>
      <c r="AM36" s="14">
        <v>0</v>
      </c>
      <c r="AO36" s="14">
        <v>0</v>
      </c>
      <c r="AR36" s="10">
        <v>0</v>
      </c>
      <c r="AS36" s="14">
        <v>0</v>
      </c>
      <c r="AT36" s="14">
        <v>0</v>
      </c>
      <c r="AU36" s="14">
        <v>0</v>
      </c>
      <c r="AY36" s="16" t="s">
        <v>150</v>
      </c>
    </row>
    <row r="37" spans="1:51" x14ac:dyDescent="0.3">
      <c r="A37" s="7" t="s">
        <v>151</v>
      </c>
      <c r="B37" s="7" t="s">
        <v>152</v>
      </c>
      <c r="C37" s="8">
        <v>45.69719491</v>
      </c>
      <c r="D37" s="8">
        <v>4.1732576689999998</v>
      </c>
      <c r="E37" s="9">
        <v>347</v>
      </c>
      <c r="F37" t="s">
        <v>53</v>
      </c>
      <c r="G37" s="10" t="s">
        <v>54</v>
      </c>
      <c r="H37" s="11">
        <v>-1500</v>
      </c>
      <c r="I37" s="11">
        <v>-1300</v>
      </c>
      <c r="J37" s="10" t="s">
        <v>132</v>
      </c>
      <c r="K37" s="10" t="s">
        <v>57</v>
      </c>
      <c r="L37" s="12" t="s">
        <v>137</v>
      </c>
      <c r="M37" s="10" t="s">
        <v>59</v>
      </c>
      <c r="O37" s="10" t="s">
        <v>60</v>
      </c>
      <c r="P37" s="10" t="s">
        <v>61</v>
      </c>
      <c r="Q37" s="12"/>
      <c r="S37" s="12">
        <v>103</v>
      </c>
      <c r="V37" s="10">
        <v>0</v>
      </c>
      <c r="W37" s="13">
        <v>13</v>
      </c>
      <c r="X37" s="10">
        <v>0</v>
      </c>
      <c r="AA37" s="10">
        <v>0</v>
      </c>
      <c r="AB37" s="10">
        <v>0</v>
      </c>
      <c r="AC37" s="10">
        <v>0</v>
      </c>
      <c r="AE37" s="14">
        <v>0</v>
      </c>
      <c r="AG37" s="10">
        <v>0</v>
      </c>
      <c r="AJ37" s="14">
        <v>0</v>
      </c>
      <c r="AK37" s="14">
        <v>0</v>
      </c>
      <c r="AL37" s="10">
        <v>0</v>
      </c>
      <c r="AM37" s="14">
        <v>0</v>
      </c>
      <c r="AO37" s="10">
        <v>0</v>
      </c>
      <c r="AR37" s="10">
        <v>0</v>
      </c>
      <c r="AS37" s="14">
        <v>0</v>
      </c>
      <c r="AT37" s="10">
        <v>0</v>
      </c>
      <c r="AU37" s="14">
        <v>0</v>
      </c>
      <c r="AY37" s="16" t="s">
        <v>63</v>
      </c>
    </row>
    <row r="38" spans="1:51" s="15" customFormat="1" x14ac:dyDescent="0.3">
      <c r="A38" s="7" t="s">
        <v>88</v>
      </c>
      <c r="B38" s="7" t="s">
        <v>89</v>
      </c>
      <c r="C38" s="8">
        <v>46.310407509999997</v>
      </c>
      <c r="D38" s="8">
        <v>6.2677314270000002</v>
      </c>
      <c r="E38" s="9">
        <v>418</v>
      </c>
      <c r="F38" t="s">
        <v>53</v>
      </c>
      <c r="G38" s="10" t="s">
        <v>54</v>
      </c>
      <c r="H38" s="11">
        <v>-1600</v>
      </c>
      <c r="I38" s="11">
        <v>-1250</v>
      </c>
      <c r="J38" s="10" t="s">
        <v>132</v>
      </c>
      <c r="K38" s="10" t="s">
        <v>57</v>
      </c>
      <c r="L38" s="18" t="s">
        <v>153</v>
      </c>
      <c r="M38" s="10" t="s">
        <v>73</v>
      </c>
      <c r="N38" s="10"/>
      <c r="O38" s="10" t="s">
        <v>60</v>
      </c>
      <c r="P38" s="10" t="s">
        <v>61</v>
      </c>
      <c r="Q38" s="12"/>
      <c r="R38" s="10"/>
      <c r="S38" s="12">
        <v>2</v>
      </c>
      <c r="T38" s="10"/>
      <c r="U38" s="10"/>
      <c r="V38" s="10">
        <v>0</v>
      </c>
      <c r="W38" s="13">
        <v>2</v>
      </c>
      <c r="X38" s="10">
        <v>0</v>
      </c>
      <c r="Y38" s="10"/>
      <c r="Z38" s="10"/>
      <c r="AA38" s="10">
        <v>0</v>
      </c>
      <c r="AB38" s="10">
        <v>0</v>
      </c>
      <c r="AC38" s="10">
        <v>0</v>
      </c>
      <c r="AD38" s="10"/>
      <c r="AE38" s="14">
        <v>0</v>
      </c>
      <c r="AF38" s="10"/>
      <c r="AG38" s="10">
        <v>0</v>
      </c>
      <c r="AH38" s="10"/>
      <c r="AI38" s="10"/>
      <c r="AJ38" s="10">
        <v>0</v>
      </c>
      <c r="AK38" s="14">
        <v>0</v>
      </c>
      <c r="AL38" s="10">
        <v>0</v>
      </c>
      <c r="AM38" s="14">
        <v>0</v>
      </c>
      <c r="AN38" s="10"/>
      <c r="AO38" s="10">
        <v>0</v>
      </c>
      <c r="AP38" s="10"/>
      <c r="AQ38" s="10"/>
      <c r="AR38" s="10">
        <v>0</v>
      </c>
      <c r="AS38" s="14">
        <v>0</v>
      </c>
      <c r="AT38" s="10">
        <v>0</v>
      </c>
      <c r="AU38" s="14">
        <v>0</v>
      </c>
      <c r="AV38" s="10"/>
      <c r="AW38"/>
      <c r="AY38" s="16" t="s">
        <v>63</v>
      </c>
    </row>
    <row r="39" spans="1:51" x14ac:dyDescent="0.3">
      <c r="A39" s="7" t="s">
        <v>154</v>
      </c>
      <c r="B39" s="7" t="s">
        <v>89</v>
      </c>
      <c r="C39" s="8">
        <v>46.310407509999997</v>
      </c>
      <c r="D39" s="8">
        <v>6.2677314270000002</v>
      </c>
      <c r="E39" s="9">
        <v>418</v>
      </c>
      <c r="F39" t="s">
        <v>53</v>
      </c>
      <c r="G39" s="10" t="s">
        <v>54</v>
      </c>
      <c r="H39" s="11">
        <v>-1200</v>
      </c>
      <c r="I39" s="11">
        <v>-1000</v>
      </c>
      <c r="J39" s="10" t="s">
        <v>132</v>
      </c>
      <c r="K39" s="10" t="s">
        <v>57</v>
      </c>
      <c r="L39" s="18" t="s">
        <v>155</v>
      </c>
      <c r="M39" s="10" t="s">
        <v>73</v>
      </c>
      <c r="O39" s="10" t="s">
        <v>60</v>
      </c>
      <c r="P39" s="10" t="s">
        <v>61</v>
      </c>
      <c r="Q39" s="12"/>
      <c r="S39" s="12">
        <v>32</v>
      </c>
      <c r="V39" s="10">
        <v>2</v>
      </c>
      <c r="W39" s="13">
        <v>16</v>
      </c>
      <c r="X39" s="10">
        <v>0</v>
      </c>
      <c r="AA39" s="10">
        <v>0</v>
      </c>
      <c r="AB39" s="10">
        <v>0</v>
      </c>
      <c r="AC39" s="10">
        <v>0</v>
      </c>
      <c r="AE39" s="14">
        <v>0</v>
      </c>
      <c r="AG39" s="10">
        <v>1</v>
      </c>
      <c r="AJ39" s="10">
        <v>1</v>
      </c>
      <c r="AK39" s="14">
        <v>0</v>
      </c>
      <c r="AL39" s="10">
        <v>1</v>
      </c>
      <c r="AM39" s="14">
        <v>0</v>
      </c>
      <c r="AN39" s="10" t="s">
        <v>62</v>
      </c>
      <c r="AO39" s="10">
        <v>0</v>
      </c>
      <c r="AR39" s="10">
        <v>0</v>
      </c>
      <c r="AS39" s="14">
        <v>0</v>
      </c>
      <c r="AT39" s="10">
        <v>0</v>
      </c>
      <c r="AU39" s="14">
        <v>0</v>
      </c>
      <c r="AY39" s="16" t="s">
        <v>63</v>
      </c>
    </row>
    <row r="40" spans="1:51" x14ac:dyDescent="0.3">
      <c r="A40" s="7" t="s">
        <v>94</v>
      </c>
      <c r="B40" s="7" t="s">
        <v>95</v>
      </c>
      <c r="C40" s="8">
        <v>42.659851519999997</v>
      </c>
      <c r="D40" s="8">
        <v>2.6824784209999999</v>
      </c>
      <c r="E40" s="9">
        <v>158</v>
      </c>
      <c r="F40" t="s">
        <v>53</v>
      </c>
      <c r="G40" s="10" t="s">
        <v>54</v>
      </c>
      <c r="H40" s="11">
        <v>-1600</v>
      </c>
      <c r="I40" s="11">
        <v>-1350</v>
      </c>
      <c r="J40" s="10" t="s">
        <v>132</v>
      </c>
      <c r="K40" s="10" t="s">
        <v>57</v>
      </c>
      <c r="L40" s="12" t="s">
        <v>137</v>
      </c>
      <c r="M40" s="10" t="s">
        <v>67</v>
      </c>
      <c r="O40" s="10" t="s">
        <v>60</v>
      </c>
      <c r="P40" s="10" t="s">
        <v>60</v>
      </c>
      <c r="Q40" s="17"/>
      <c r="S40" s="12">
        <v>372</v>
      </c>
      <c r="V40" s="10">
        <v>4</v>
      </c>
      <c r="W40" s="13">
        <v>92</v>
      </c>
      <c r="X40" s="10">
        <v>0</v>
      </c>
      <c r="AA40" s="10">
        <v>0</v>
      </c>
      <c r="AB40" s="10">
        <v>0</v>
      </c>
      <c r="AC40" s="10">
        <v>0</v>
      </c>
      <c r="AE40" s="14">
        <v>0</v>
      </c>
      <c r="AG40" s="10">
        <v>1</v>
      </c>
      <c r="AJ40" s="10">
        <v>4</v>
      </c>
      <c r="AK40" s="14">
        <v>0</v>
      </c>
      <c r="AL40" s="10">
        <v>2</v>
      </c>
      <c r="AM40" s="14">
        <v>0</v>
      </c>
      <c r="AO40" s="10">
        <v>0</v>
      </c>
      <c r="AR40" s="10">
        <v>0</v>
      </c>
      <c r="AS40" s="14">
        <v>0</v>
      </c>
      <c r="AT40" s="10">
        <v>0</v>
      </c>
      <c r="AU40" s="14">
        <v>0</v>
      </c>
      <c r="AY40" s="16" t="s">
        <v>96</v>
      </c>
    </row>
    <row r="41" spans="1:51" s="15" customFormat="1" x14ac:dyDescent="0.3">
      <c r="A41" s="7" t="s">
        <v>156</v>
      </c>
      <c r="B41" s="7" t="s">
        <v>157</v>
      </c>
      <c r="C41" s="8">
        <v>45.742967</v>
      </c>
      <c r="D41" s="8">
        <v>3.1868758160000001</v>
      </c>
      <c r="E41" s="9">
        <v>370</v>
      </c>
      <c r="F41" t="s">
        <v>53</v>
      </c>
      <c r="G41" s="10" t="s">
        <v>54</v>
      </c>
      <c r="H41" s="11">
        <v>-1685</v>
      </c>
      <c r="I41" s="11">
        <v>-1504</v>
      </c>
      <c r="J41" s="10" t="s">
        <v>132</v>
      </c>
      <c r="K41" s="10" t="s">
        <v>57</v>
      </c>
      <c r="L41" s="12" t="s">
        <v>137</v>
      </c>
      <c r="M41" s="10" t="s">
        <v>77</v>
      </c>
      <c r="N41" s="10"/>
      <c r="O41" s="10" t="s">
        <v>60</v>
      </c>
      <c r="P41" s="10" t="s">
        <v>61</v>
      </c>
      <c r="Q41" s="12"/>
      <c r="R41" s="10"/>
      <c r="S41" s="12">
        <v>8</v>
      </c>
      <c r="T41" s="10"/>
      <c r="U41" s="10"/>
      <c r="V41" s="10">
        <v>0</v>
      </c>
      <c r="W41" s="13">
        <v>5</v>
      </c>
      <c r="X41" s="10">
        <v>0</v>
      </c>
      <c r="Y41" s="10"/>
      <c r="Z41" s="10"/>
      <c r="AA41" s="10">
        <v>0</v>
      </c>
      <c r="AB41" s="10">
        <v>0</v>
      </c>
      <c r="AC41" s="10">
        <v>0</v>
      </c>
      <c r="AD41" s="10"/>
      <c r="AE41" s="14">
        <v>0</v>
      </c>
      <c r="AF41" s="10"/>
      <c r="AG41" s="10">
        <v>0</v>
      </c>
      <c r="AH41" s="10"/>
      <c r="AI41" s="10"/>
      <c r="AJ41" s="14">
        <v>0</v>
      </c>
      <c r="AK41" s="14">
        <v>0</v>
      </c>
      <c r="AL41" s="10">
        <v>0</v>
      </c>
      <c r="AM41" s="14">
        <v>0</v>
      </c>
      <c r="AN41" s="10"/>
      <c r="AO41" s="10">
        <v>0</v>
      </c>
      <c r="AP41" s="10"/>
      <c r="AQ41" s="10"/>
      <c r="AR41" s="10">
        <v>0</v>
      </c>
      <c r="AS41" s="14">
        <v>0</v>
      </c>
      <c r="AT41" s="10">
        <v>0</v>
      </c>
      <c r="AU41" s="14">
        <v>0</v>
      </c>
      <c r="AV41" s="10"/>
      <c r="AW41"/>
      <c r="AY41" s="16" t="s">
        <v>68</v>
      </c>
    </row>
    <row r="42" spans="1:51" x14ac:dyDescent="0.3">
      <c r="A42" s="7" t="s">
        <v>158</v>
      </c>
      <c r="B42" s="7" t="s">
        <v>159</v>
      </c>
      <c r="C42" s="8">
        <v>45.737593670000003</v>
      </c>
      <c r="D42" s="8">
        <v>4.2191088670000001</v>
      </c>
      <c r="E42" s="9">
        <v>327</v>
      </c>
      <c r="F42" t="s">
        <v>53</v>
      </c>
      <c r="G42" s="10" t="s">
        <v>54</v>
      </c>
      <c r="H42" s="11">
        <v>-1600</v>
      </c>
      <c r="I42" s="11">
        <v>-1300</v>
      </c>
      <c r="J42" s="10" t="s">
        <v>132</v>
      </c>
      <c r="K42" s="10" t="s">
        <v>57</v>
      </c>
      <c r="L42" s="12" t="s">
        <v>137</v>
      </c>
      <c r="M42" s="10" t="s">
        <v>119</v>
      </c>
      <c r="O42" s="10" t="s">
        <v>60</v>
      </c>
      <c r="P42" s="10" t="s">
        <v>61</v>
      </c>
      <c r="Q42" s="12"/>
      <c r="S42" s="12">
        <v>36</v>
      </c>
      <c r="V42" s="10">
        <v>2</v>
      </c>
      <c r="W42" s="13">
        <v>19</v>
      </c>
      <c r="X42" s="10">
        <v>0</v>
      </c>
      <c r="AA42" s="10">
        <v>0</v>
      </c>
      <c r="AB42" s="10">
        <v>0</v>
      </c>
      <c r="AC42" s="10">
        <v>0</v>
      </c>
      <c r="AE42" s="14">
        <v>0</v>
      </c>
      <c r="AG42" s="10">
        <v>0</v>
      </c>
      <c r="AJ42" s="14">
        <v>0</v>
      </c>
      <c r="AK42" s="14">
        <v>0</v>
      </c>
      <c r="AL42" s="10">
        <v>0</v>
      </c>
      <c r="AM42" s="14">
        <v>0</v>
      </c>
      <c r="AO42" s="10">
        <v>0</v>
      </c>
      <c r="AR42" s="10">
        <v>0</v>
      </c>
      <c r="AS42" s="14">
        <v>0</v>
      </c>
      <c r="AT42" s="10">
        <v>0</v>
      </c>
      <c r="AU42" s="14">
        <v>0</v>
      </c>
      <c r="AW42" t="s">
        <v>160</v>
      </c>
      <c r="AY42" s="16" t="s">
        <v>161</v>
      </c>
    </row>
    <row r="43" spans="1:51" x14ac:dyDescent="0.3">
      <c r="A43" s="24" t="s">
        <v>162</v>
      </c>
      <c r="B43" s="7" t="s">
        <v>163</v>
      </c>
      <c r="C43" s="8">
        <v>43.655639430000001</v>
      </c>
      <c r="D43" s="8">
        <v>6.9319050820000001</v>
      </c>
      <c r="E43" s="9">
        <v>356</v>
      </c>
      <c r="F43" t="s">
        <v>53</v>
      </c>
      <c r="G43" s="10" t="s">
        <v>54</v>
      </c>
      <c r="H43" s="11">
        <v>-1450</v>
      </c>
      <c r="I43" s="11">
        <v>-1350</v>
      </c>
      <c r="J43" s="10" t="s">
        <v>132</v>
      </c>
      <c r="K43" s="10" t="s">
        <v>57</v>
      </c>
      <c r="L43" s="14" t="s">
        <v>164</v>
      </c>
      <c r="M43" s="10" t="s">
        <v>77</v>
      </c>
      <c r="O43" s="10" t="s">
        <v>60</v>
      </c>
      <c r="P43" s="10" t="s">
        <v>61</v>
      </c>
      <c r="Q43" s="17"/>
      <c r="S43" s="12">
        <v>162</v>
      </c>
      <c r="V43" s="10">
        <v>0</v>
      </c>
      <c r="W43" s="13">
        <v>5</v>
      </c>
      <c r="X43" s="10">
        <v>0</v>
      </c>
      <c r="AA43" s="10">
        <v>0</v>
      </c>
      <c r="AB43" s="10">
        <v>0</v>
      </c>
      <c r="AC43" s="10">
        <v>0</v>
      </c>
      <c r="AE43" s="14">
        <v>0</v>
      </c>
      <c r="AG43" s="14">
        <v>0</v>
      </c>
      <c r="AJ43" s="14">
        <v>0</v>
      </c>
      <c r="AK43" s="14">
        <v>0</v>
      </c>
      <c r="AL43" s="14">
        <v>0</v>
      </c>
      <c r="AM43" s="14">
        <v>0</v>
      </c>
      <c r="AO43" s="14">
        <v>0</v>
      </c>
      <c r="AR43" s="10">
        <v>0</v>
      </c>
      <c r="AS43" s="14">
        <v>0</v>
      </c>
      <c r="AT43" s="14">
        <v>0</v>
      </c>
      <c r="AU43" s="14">
        <v>0</v>
      </c>
      <c r="AY43" s="16" t="s">
        <v>165</v>
      </c>
    </row>
    <row r="44" spans="1:51" x14ac:dyDescent="0.3">
      <c r="A44" s="7" t="s">
        <v>166</v>
      </c>
      <c r="B44" s="7" t="s">
        <v>167</v>
      </c>
      <c r="C44" s="8">
        <v>43.633413779999998</v>
      </c>
      <c r="D44" s="8">
        <v>5.6567579629999996</v>
      </c>
      <c r="E44" s="9">
        <v>368</v>
      </c>
      <c r="F44" t="s">
        <v>53</v>
      </c>
      <c r="G44" s="10" t="s">
        <v>54</v>
      </c>
      <c r="H44" s="11">
        <v>-900</v>
      </c>
      <c r="I44" s="11">
        <v>-500</v>
      </c>
      <c r="J44" s="10" t="s">
        <v>132</v>
      </c>
      <c r="K44" s="10" t="s">
        <v>57</v>
      </c>
      <c r="L44" s="12" t="s">
        <v>168</v>
      </c>
      <c r="M44" s="10" t="s">
        <v>67</v>
      </c>
      <c r="O44" s="10" t="s">
        <v>60</v>
      </c>
      <c r="P44" s="10" t="s">
        <v>60</v>
      </c>
      <c r="Q44" s="12"/>
      <c r="S44" s="12">
        <v>0</v>
      </c>
      <c r="V44" s="10">
        <v>1</v>
      </c>
      <c r="W44" s="13">
        <v>2</v>
      </c>
      <c r="X44" s="10">
        <v>0</v>
      </c>
      <c r="AA44" s="10">
        <v>0</v>
      </c>
      <c r="AB44" s="10">
        <v>0</v>
      </c>
      <c r="AC44" s="10">
        <v>0</v>
      </c>
      <c r="AE44" s="14">
        <v>0</v>
      </c>
      <c r="AG44" s="10">
        <v>1</v>
      </c>
      <c r="AJ44" s="10">
        <v>1</v>
      </c>
      <c r="AK44" s="14">
        <v>0</v>
      </c>
      <c r="AL44" s="10">
        <v>1</v>
      </c>
      <c r="AM44" s="14">
        <v>0</v>
      </c>
      <c r="AN44" s="10" t="s">
        <v>62</v>
      </c>
      <c r="AO44" s="14">
        <v>0</v>
      </c>
      <c r="AR44" s="10">
        <v>0</v>
      </c>
      <c r="AS44" s="14">
        <v>0</v>
      </c>
      <c r="AT44" s="14">
        <v>0</v>
      </c>
      <c r="AU44" s="14">
        <v>0</v>
      </c>
      <c r="AY44" s="16" t="s">
        <v>78</v>
      </c>
    </row>
    <row r="45" spans="1:51" x14ac:dyDescent="0.3">
      <c r="A45" s="7" t="s">
        <v>166</v>
      </c>
      <c r="B45" s="7" t="s">
        <v>167</v>
      </c>
      <c r="C45" s="8">
        <v>43.633413779999998</v>
      </c>
      <c r="D45" s="8">
        <v>5.6567579629999996</v>
      </c>
      <c r="E45" s="9">
        <v>368</v>
      </c>
      <c r="F45" t="s">
        <v>53</v>
      </c>
      <c r="G45" s="10" t="s">
        <v>54</v>
      </c>
      <c r="H45" s="11">
        <v>-1550</v>
      </c>
      <c r="I45" s="11">
        <v>-1350</v>
      </c>
      <c r="J45" s="10" t="s">
        <v>132</v>
      </c>
      <c r="K45" s="10" t="s">
        <v>57</v>
      </c>
      <c r="L45" s="12" t="s">
        <v>137</v>
      </c>
      <c r="M45" s="10" t="s">
        <v>67</v>
      </c>
      <c r="O45" s="10" t="s">
        <v>60</v>
      </c>
      <c r="P45" s="10" t="s">
        <v>60</v>
      </c>
      <c r="Q45" s="12"/>
      <c r="S45" s="12">
        <v>29</v>
      </c>
      <c r="V45" s="10">
        <v>5</v>
      </c>
      <c r="W45" s="13">
        <v>1</v>
      </c>
      <c r="X45" s="10">
        <v>1</v>
      </c>
      <c r="AA45" s="10">
        <v>2</v>
      </c>
      <c r="AB45" s="10">
        <v>0</v>
      </c>
      <c r="AC45" s="10">
        <v>1</v>
      </c>
      <c r="AE45" s="14">
        <v>0</v>
      </c>
      <c r="AG45" s="10">
        <v>1</v>
      </c>
      <c r="AJ45" s="10">
        <v>2</v>
      </c>
      <c r="AK45" s="14">
        <v>0</v>
      </c>
      <c r="AL45" s="10">
        <v>1</v>
      </c>
      <c r="AM45" s="14">
        <v>0</v>
      </c>
      <c r="AN45" s="10" t="s">
        <v>62</v>
      </c>
      <c r="AO45" s="14">
        <v>0</v>
      </c>
      <c r="AR45" s="10">
        <v>0</v>
      </c>
      <c r="AS45" s="14">
        <v>0</v>
      </c>
      <c r="AT45" s="14">
        <v>0</v>
      </c>
      <c r="AU45" s="14">
        <v>0</v>
      </c>
      <c r="AY45" s="16" t="s">
        <v>78</v>
      </c>
    </row>
    <row r="46" spans="1:51" x14ac:dyDescent="0.3">
      <c r="A46" s="7" t="s">
        <v>169</v>
      </c>
      <c r="B46" s="7" t="s">
        <v>170</v>
      </c>
      <c r="C46" s="8">
        <v>42.433582170000001</v>
      </c>
      <c r="D46" s="8">
        <v>2.09024996</v>
      </c>
      <c r="E46" s="9">
        <v>1630</v>
      </c>
      <c r="F46" t="s">
        <v>53</v>
      </c>
      <c r="G46" s="10" t="s">
        <v>54</v>
      </c>
      <c r="H46" s="11">
        <v>-1600</v>
      </c>
      <c r="I46" s="11">
        <v>-1250</v>
      </c>
      <c r="J46" s="10" t="s">
        <v>132</v>
      </c>
      <c r="K46" s="10" t="s">
        <v>57</v>
      </c>
      <c r="L46" s="12" t="s">
        <v>153</v>
      </c>
      <c r="M46" s="10" t="s">
        <v>77</v>
      </c>
      <c r="O46" s="10" t="s">
        <v>60</v>
      </c>
      <c r="P46" s="10" t="s">
        <v>61</v>
      </c>
      <c r="Q46" s="12"/>
      <c r="S46" s="12">
        <v>82</v>
      </c>
      <c r="V46" s="10">
        <v>200</v>
      </c>
      <c r="W46" s="13">
        <v>9</v>
      </c>
      <c r="X46" s="10">
        <v>0</v>
      </c>
      <c r="AA46" s="10">
        <v>0</v>
      </c>
      <c r="AB46" s="10">
        <v>0</v>
      </c>
      <c r="AC46" s="10">
        <v>0</v>
      </c>
      <c r="AE46" s="14">
        <v>0</v>
      </c>
      <c r="AG46" s="10">
        <v>1</v>
      </c>
      <c r="AJ46" s="10">
        <v>78</v>
      </c>
      <c r="AK46" s="14">
        <v>0</v>
      </c>
      <c r="AL46" s="10">
        <v>2</v>
      </c>
      <c r="AM46" s="14">
        <v>0</v>
      </c>
      <c r="AN46" s="10" t="s">
        <v>62</v>
      </c>
      <c r="AO46" s="10">
        <v>0</v>
      </c>
      <c r="AR46" s="10">
        <v>0</v>
      </c>
      <c r="AS46" s="14">
        <v>0</v>
      </c>
      <c r="AT46" s="10">
        <v>0</v>
      </c>
      <c r="AU46" s="14">
        <v>0</v>
      </c>
      <c r="AY46" s="16" t="s">
        <v>171</v>
      </c>
    </row>
    <row r="47" spans="1:51" x14ac:dyDescent="0.3">
      <c r="A47" s="7" t="s">
        <v>172</v>
      </c>
      <c r="B47" s="7" t="s">
        <v>173</v>
      </c>
      <c r="C47" s="8">
        <v>44.554084570000001</v>
      </c>
      <c r="D47" s="8">
        <v>4.7486938780000001</v>
      </c>
      <c r="E47" s="9">
        <v>93</v>
      </c>
      <c r="F47" t="s">
        <v>53</v>
      </c>
      <c r="G47" s="10" t="s">
        <v>54</v>
      </c>
      <c r="H47" s="11">
        <v>-1400</v>
      </c>
      <c r="I47" s="11">
        <v>-1200</v>
      </c>
      <c r="J47" s="10" t="s">
        <v>132</v>
      </c>
      <c r="K47" s="10" t="s">
        <v>57</v>
      </c>
      <c r="L47" s="12" t="s">
        <v>174</v>
      </c>
      <c r="M47" s="10" t="s">
        <v>59</v>
      </c>
      <c r="O47" s="10" t="s">
        <v>60</v>
      </c>
      <c r="P47" s="10" t="s">
        <v>61</v>
      </c>
      <c r="Q47" s="12"/>
      <c r="S47" s="12">
        <v>72</v>
      </c>
      <c r="V47" s="10">
        <v>0</v>
      </c>
      <c r="W47" s="13">
        <v>47</v>
      </c>
      <c r="X47" s="10">
        <v>0</v>
      </c>
      <c r="AA47" s="10">
        <v>0</v>
      </c>
      <c r="AB47" s="10">
        <v>0</v>
      </c>
      <c r="AC47" s="10">
        <v>0</v>
      </c>
      <c r="AE47" s="14">
        <v>0</v>
      </c>
      <c r="AG47" s="10">
        <v>0</v>
      </c>
      <c r="AJ47" s="14">
        <v>0</v>
      </c>
      <c r="AK47" s="14">
        <v>0</v>
      </c>
      <c r="AL47" s="10">
        <v>0</v>
      </c>
      <c r="AM47" s="14">
        <v>0</v>
      </c>
      <c r="AO47" s="14">
        <v>0</v>
      </c>
      <c r="AR47" s="10">
        <v>0</v>
      </c>
      <c r="AS47" s="14">
        <v>0</v>
      </c>
      <c r="AT47" s="14">
        <v>0</v>
      </c>
      <c r="AU47" s="14">
        <v>0</v>
      </c>
      <c r="AY47" s="16" t="s">
        <v>63</v>
      </c>
    </row>
    <row r="48" spans="1:51" x14ac:dyDescent="0.3">
      <c r="A48" s="7" t="s">
        <v>175</v>
      </c>
      <c r="B48" s="7" t="s">
        <v>176</v>
      </c>
      <c r="C48" s="8">
        <v>43.76652507</v>
      </c>
      <c r="D48" s="8">
        <v>6.0945480590000001</v>
      </c>
      <c r="E48" s="9">
        <v>425</v>
      </c>
      <c r="F48" t="s">
        <v>53</v>
      </c>
      <c r="G48" s="10" t="s">
        <v>54</v>
      </c>
      <c r="H48" s="11">
        <v>-1600</v>
      </c>
      <c r="I48" s="11">
        <v>-1500</v>
      </c>
      <c r="J48" s="10" t="s">
        <v>132</v>
      </c>
      <c r="K48" s="10" t="s">
        <v>57</v>
      </c>
      <c r="L48" s="12" t="s">
        <v>177</v>
      </c>
      <c r="M48" s="10" t="s">
        <v>67</v>
      </c>
      <c r="O48" s="10" t="s">
        <v>60</v>
      </c>
      <c r="P48" s="10" t="s">
        <v>60</v>
      </c>
      <c r="Q48" s="12"/>
      <c r="S48" s="12">
        <v>189</v>
      </c>
      <c r="V48" s="10">
        <v>12</v>
      </c>
      <c r="W48" s="13">
        <v>1</v>
      </c>
      <c r="X48" s="10">
        <v>0</v>
      </c>
      <c r="AA48" s="10">
        <v>0</v>
      </c>
      <c r="AB48" s="10">
        <v>0</v>
      </c>
      <c r="AC48" s="10">
        <v>0</v>
      </c>
      <c r="AE48" s="14">
        <v>0</v>
      </c>
      <c r="AG48" s="14">
        <v>0</v>
      </c>
      <c r="AJ48" s="14">
        <v>0</v>
      </c>
      <c r="AK48" s="14">
        <v>0</v>
      </c>
      <c r="AL48" s="14">
        <v>0</v>
      </c>
      <c r="AM48" s="14">
        <v>0</v>
      </c>
      <c r="AO48" s="14">
        <v>0</v>
      </c>
      <c r="AR48" s="10">
        <v>0</v>
      </c>
      <c r="AS48" s="14">
        <v>0</v>
      </c>
      <c r="AT48" s="14">
        <v>0</v>
      </c>
      <c r="AU48" s="14">
        <v>0</v>
      </c>
      <c r="AY48" s="16" t="s">
        <v>178</v>
      </c>
    </row>
    <row r="49" spans="1:51" x14ac:dyDescent="0.3">
      <c r="A49" s="7" t="s">
        <v>179</v>
      </c>
      <c r="B49" s="7" t="s">
        <v>180</v>
      </c>
      <c r="C49" s="8">
        <v>43.844938390000003</v>
      </c>
      <c r="D49" s="8">
        <v>4.3480679699999998</v>
      </c>
      <c r="E49" s="9">
        <v>28</v>
      </c>
      <c r="F49" t="s">
        <v>53</v>
      </c>
      <c r="G49" s="10" t="s">
        <v>54</v>
      </c>
      <c r="H49" s="11">
        <v>-1600</v>
      </c>
      <c r="I49" s="11">
        <v>-1300</v>
      </c>
      <c r="J49" s="10" t="s">
        <v>132</v>
      </c>
      <c r="K49" s="10" t="s">
        <v>57</v>
      </c>
      <c r="L49" s="12" t="s">
        <v>137</v>
      </c>
      <c r="M49" s="10" t="s">
        <v>77</v>
      </c>
      <c r="O49" s="10" t="s">
        <v>60</v>
      </c>
      <c r="P49" s="10" t="s">
        <v>61</v>
      </c>
      <c r="Q49" s="12"/>
      <c r="S49" s="12">
        <v>1</v>
      </c>
      <c r="V49" s="10">
        <v>0</v>
      </c>
      <c r="W49" s="13">
        <v>1</v>
      </c>
      <c r="X49" s="10">
        <v>0</v>
      </c>
      <c r="AA49" s="10">
        <v>0</v>
      </c>
      <c r="AB49" s="10">
        <v>0</v>
      </c>
      <c r="AC49" s="10">
        <v>0</v>
      </c>
      <c r="AE49" s="14">
        <v>0</v>
      </c>
      <c r="AG49" s="10">
        <v>0</v>
      </c>
      <c r="AJ49" s="14">
        <v>0</v>
      </c>
      <c r="AK49" s="14">
        <v>0</v>
      </c>
      <c r="AL49" s="10">
        <v>0</v>
      </c>
      <c r="AM49" s="14">
        <v>0</v>
      </c>
      <c r="AO49" s="10">
        <v>0</v>
      </c>
      <c r="AR49" s="10">
        <v>0</v>
      </c>
      <c r="AS49" s="14">
        <v>0</v>
      </c>
      <c r="AT49" s="10">
        <v>0</v>
      </c>
      <c r="AU49" s="14">
        <v>0</v>
      </c>
      <c r="AY49" s="16" t="s">
        <v>131</v>
      </c>
    </row>
    <row r="50" spans="1:51" x14ac:dyDescent="0.3">
      <c r="A50" s="20" t="s">
        <v>181</v>
      </c>
      <c r="B50" s="7" t="s">
        <v>182</v>
      </c>
      <c r="C50" s="8">
        <v>45.798408500000001</v>
      </c>
      <c r="D50" s="8">
        <v>3.2395773839999999</v>
      </c>
      <c r="E50" s="9">
        <v>326</v>
      </c>
      <c r="F50" t="s">
        <v>53</v>
      </c>
      <c r="G50" s="10" t="s">
        <v>54</v>
      </c>
      <c r="H50" s="11">
        <v>-1700</v>
      </c>
      <c r="I50" s="11">
        <v>-1500</v>
      </c>
      <c r="J50" s="10" t="s">
        <v>132</v>
      </c>
      <c r="K50" s="10" t="s">
        <v>57</v>
      </c>
      <c r="L50" s="12" t="s">
        <v>137</v>
      </c>
      <c r="M50" s="10" t="s">
        <v>77</v>
      </c>
      <c r="O50" s="10" t="s">
        <v>60</v>
      </c>
      <c r="P50" s="10" t="s">
        <v>61</v>
      </c>
      <c r="Q50" s="12"/>
      <c r="S50" s="12">
        <v>2</v>
      </c>
      <c r="V50" s="10">
        <v>0</v>
      </c>
      <c r="W50" s="13">
        <v>2</v>
      </c>
      <c r="X50" s="10">
        <v>0</v>
      </c>
      <c r="AA50" s="10">
        <v>0</v>
      </c>
      <c r="AB50" s="10">
        <v>0</v>
      </c>
      <c r="AC50" s="10">
        <v>0</v>
      </c>
      <c r="AE50" s="14">
        <v>0</v>
      </c>
      <c r="AG50" s="10">
        <v>0</v>
      </c>
      <c r="AJ50" s="14">
        <v>0</v>
      </c>
      <c r="AK50" s="14">
        <v>0</v>
      </c>
      <c r="AL50" s="10">
        <v>0</v>
      </c>
      <c r="AM50" s="14">
        <v>0</v>
      </c>
      <c r="AO50" s="10">
        <v>0</v>
      </c>
      <c r="AR50" s="10">
        <v>0</v>
      </c>
      <c r="AS50" s="14">
        <v>0</v>
      </c>
      <c r="AT50" s="10">
        <v>0</v>
      </c>
      <c r="AU50" s="14">
        <v>0</v>
      </c>
      <c r="AY50" s="16" t="s">
        <v>63</v>
      </c>
    </row>
    <row r="51" spans="1:51" x14ac:dyDescent="0.3">
      <c r="A51" s="7" t="s">
        <v>183</v>
      </c>
      <c r="B51" s="7" t="s">
        <v>184</v>
      </c>
      <c r="C51" s="8">
        <v>45.913619830000002</v>
      </c>
      <c r="D51" s="8">
        <v>4.7737512329999996</v>
      </c>
      <c r="E51" s="9">
        <v>176</v>
      </c>
      <c r="F51" t="s">
        <v>53</v>
      </c>
      <c r="G51" s="10" t="s">
        <v>54</v>
      </c>
      <c r="H51" s="11">
        <v>-1600</v>
      </c>
      <c r="I51" s="11">
        <v>-1350</v>
      </c>
      <c r="J51" s="10" t="s">
        <v>132</v>
      </c>
      <c r="K51" s="10" t="s">
        <v>57</v>
      </c>
      <c r="L51" s="12" t="s">
        <v>137</v>
      </c>
      <c r="M51" s="10" t="s">
        <v>92</v>
      </c>
      <c r="O51" s="10" t="s">
        <v>60</v>
      </c>
      <c r="P51" s="10" t="s">
        <v>61</v>
      </c>
      <c r="Q51" s="12"/>
      <c r="S51" s="12">
        <v>9</v>
      </c>
      <c r="V51" s="10">
        <v>1</v>
      </c>
      <c r="W51" s="13">
        <v>1</v>
      </c>
      <c r="X51" s="10">
        <v>0</v>
      </c>
      <c r="AA51" s="10">
        <v>0</v>
      </c>
      <c r="AB51" s="10">
        <v>0</v>
      </c>
      <c r="AC51" s="10">
        <v>0</v>
      </c>
      <c r="AE51" s="14">
        <v>0</v>
      </c>
      <c r="AG51" s="10">
        <v>0</v>
      </c>
      <c r="AJ51" s="10">
        <v>0</v>
      </c>
      <c r="AK51" s="14">
        <v>0</v>
      </c>
      <c r="AL51" s="10">
        <v>0</v>
      </c>
      <c r="AM51" s="14">
        <v>0</v>
      </c>
      <c r="AO51" s="10">
        <v>0</v>
      </c>
      <c r="AR51" s="10">
        <v>0</v>
      </c>
      <c r="AS51" s="14">
        <v>0</v>
      </c>
      <c r="AT51" s="10">
        <v>0</v>
      </c>
      <c r="AU51" s="14">
        <v>0</v>
      </c>
      <c r="AY51" s="16" t="s">
        <v>63</v>
      </c>
    </row>
    <row r="52" spans="1:51" x14ac:dyDescent="0.3">
      <c r="A52" s="7" t="s">
        <v>185</v>
      </c>
      <c r="B52" s="7" t="s">
        <v>186</v>
      </c>
      <c r="C52" s="8">
        <v>43.664878180000002</v>
      </c>
      <c r="D52" s="8">
        <v>5.3521824699999998</v>
      </c>
      <c r="E52" s="9">
        <v>318</v>
      </c>
      <c r="F52" t="s">
        <v>53</v>
      </c>
      <c r="G52" s="10" t="s">
        <v>54</v>
      </c>
      <c r="H52" s="11">
        <v>-1500</v>
      </c>
      <c r="I52" s="11">
        <v>-1400</v>
      </c>
      <c r="J52" s="10" t="s">
        <v>132</v>
      </c>
      <c r="K52" s="10" t="s">
        <v>57</v>
      </c>
      <c r="L52" s="12" t="s">
        <v>164</v>
      </c>
      <c r="M52" s="10" t="s">
        <v>77</v>
      </c>
      <c r="O52" s="10" t="s">
        <v>60</v>
      </c>
      <c r="P52" s="10" t="s">
        <v>61</v>
      </c>
      <c r="Q52" s="12"/>
      <c r="S52" s="12">
        <v>132</v>
      </c>
      <c r="V52" s="10">
        <v>0</v>
      </c>
      <c r="W52" s="13">
        <v>6</v>
      </c>
      <c r="X52" s="10">
        <v>0</v>
      </c>
      <c r="AA52" s="10">
        <v>0</v>
      </c>
      <c r="AB52" s="10">
        <v>0</v>
      </c>
      <c r="AC52" s="10">
        <v>0</v>
      </c>
      <c r="AE52" s="14">
        <v>0</v>
      </c>
      <c r="AG52" s="10">
        <v>0</v>
      </c>
      <c r="AJ52" s="14">
        <v>0</v>
      </c>
      <c r="AK52" s="14">
        <v>0</v>
      </c>
      <c r="AL52" s="10">
        <v>0</v>
      </c>
      <c r="AM52" s="14">
        <v>0</v>
      </c>
      <c r="AO52" s="14">
        <v>0</v>
      </c>
      <c r="AR52" s="10">
        <v>0</v>
      </c>
      <c r="AS52" s="14">
        <v>0</v>
      </c>
      <c r="AT52" s="14">
        <v>0</v>
      </c>
      <c r="AU52" s="14">
        <v>0</v>
      </c>
      <c r="AY52" s="16" t="s">
        <v>187</v>
      </c>
    </row>
    <row r="53" spans="1:51" x14ac:dyDescent="0.3">
      <c r="A53" s="7" t="s">
        <v>188</v>
      </c>
      <c r="B53" s="7" t="s">
        <v>189</v>
      </c>
      <c r="C53" s="8">
        <v>43.320146639999997</v>
      </c>
      <c r="D53" s="8">
        <v>2.4209662820000002</v>
      </c>
      <c r="E53" s="9">
        <v>266</v>
      </c>
      <c r="F53" t="s">
        <v>53</v>
      </c>
      <c r="G53" s="10" t="s">
        <v>54</v>
      </c>
      <c r="H53" s="11">
        <v>-1740</v>
      </c>
      <c r="I53" s="11">
        <v>-1535</v>
      </c>
      <c r="J53" s="10" t="s">
        <v>132</v>
      </c>
      <c r="K53" s="10" t="s">
        <v>57</v>
      </c>
      <c r="L53" s="12" t="s">
        <v>137</v>
      </c>
      <c r="M53" s="10" t="s">
        <v>67</v>
      </c>
      <c r="O53" s="10" t="s">
        <v>60</v>
      </c>
      <c r="P53" s="10" t="s">
        <v>61</v>
      </c>
      <c r="Q53" s="17"/>
      <c r="S53" s="12">
        <v>9265</v>
      </c>
      <c r="V53" s="10">
        <v>0</v>
      </c>
      <c r="W53" s="13">
        <v>1</v>
      </c>
      <c r="X53" s="10">
        <v>0</v>
      </c>
      <c r="AA53" s="10">
        <v>0</v>
      </c>
      <c r="AB53" s="10">
        <v>0</v>
      </c>
      <c r="AC53" s="10">
        <v>0</v>
      </c>
      <c r="AE53" s="14">
        <v>0</v>
      </c>
      <c r="AG53" s="10">
        <v>0</v>
      </c>
      <c r="AJ53" s="14">
        <v>0</v>
      </c>
      <c r="AK53" s="14">
        <v>0</v>
      </c>
      <c r="AL53" s="10">
        <v>0</v>
      </c>
      <c r="AM53" s="14">
        <v>0</v>
      </c>
      <c r="AO53" s="14">
        <v>0</v>
      </c>
      <c r="AR53" s="10">
        <v>0</v>
      </c>
      <c r="AS53" s="14">
        <v>0</v>
      </c>
      <c r="AT53" s="14">
        <v>0</v>
      </c>
      <c r="AU53" s="14">
        <v>0</v>
      </c>
      <c r="AY53" s="16" t="s">
        <v>190</v>
      </c>
    </row>
    <row r="54" spans="1:51" x14ac:dyDescent="0.3">
      <c r="A54" s="7" t="s">
        <v>191</v>
      </c>
      <c r="B54" s="7" t="s">
        <v>192</v>
      </c>
      <c r="C54" s="8">
        <v>43.391770579999999</v>
      </c>
      <c r="D54" s="8">
        <v>3.6470514829999998</v>
      </c>
      <c r="E54" s="9">
        <v>7</v>
      </c>
      <c r="F54" t="s">
        <v>53</v>
      </c>
      <c r="G54" s="10" t="s">
        <v>54</v>
      </c>
      <c r="H54" s="11">
        <v>-1450</v>
      </c>
      <c r="I54" s="11">
        <v>-1250</v>
      </c>
      <c r="J54" s="10" t="s">
        <v>132</v>
      </c>
      <c r="K54" s="10" t="s">
        <v>57</v>
      </c>
      <c r="L54" s="12" t="s">
        <v>153</v>
      </c>
      <c r="M54" s="10" t="s">
        <v>73</v>
      </c>
      <c r="O54" s="10" t="s">
        <v>60</v>
      </c>
      <c r="P54" s="10" t="s">
        <v>61</v>
      </c>
      <c r="Q54" s="12"/>
      <c r="S54" s="12">
        <v>101</v>
      </c>
      <c r="V54" s="10">
        <v>0</v>
      </c>
      <c r="W54" s="13">
        <v>7</v>
      </c>
      <c r="X54" s="10">
        <v>0</v>
      </c>
      <c r="AA54" s="10">
        <v>0</v>
      </c>
      <c r="AB54" s="10">
        <v>0</v>
      </c>
      <c r="AC54" s="10">
        <v>0</v>
      </c>
      <c r="AE54" s="14">
        <v>0</v>
      </c>
      <c r="AG54" s="10">
        <v>0</v>
      </c>
      <c r="AJ54" s="14">
        <v>0</v>
      </c>
      <c r="AK54" s="14">
        <v>0</v>
      </c>
      <c r="AL54" s="10">
        <v>0</v>
      </c>
      <c r="AM54" s="14">
        <v>0</v>
      </c>
      <c r="AO54" s="10">
        <v>0</v>
      </c>
      <c r="AR54" s="10">
        <v>0</v>
      </c>
      <c r="AS54" s="14">
        <v>0</v>
      </c>
      <c r="AT54" s="10">
        <v>0</v>
      </c>
      <c r="AU54" s="14">
        <v>0</v>
      </c>
      <c r="AY54" s="16" t="s">
        <v>68</v>
      </c>
    </row>
    <row r="55" spans="1:51" x14ac:dyDescent="0.3">
      <c r="A55" s="7" t="s">
        <v>193</v>
      </c>
      <c r="B55" s="7" t="s">
        <v>194</v>
      </c>
      <c r="C55" s="8">
        <v>43.309129120000001</v>
      </c>
      <c r="D55" s="8">
        <v>3.4844790309999998</v>
      </c>
      <c r="E55" s="9">
        <v>1</v>
      </c>
      <c r="F55" t="s">
        <v>53</v>
      </c>
      <c r="G55" s="10" t="s">
        <v>54</v>
      </c>
      <c r="H55" s="11">
        <v>-800</v>
      </c>
      <c r="I55" s="11">
        <v>-700</v>
      </c>
      <c r="J55" s="10" t="s">
        <v>195</v>
      </c>
      <c r="K55" s="10" t="s">
        <v>57</v>
      </c>
      <c r="L55" s="12" t="s">
        <v>196</v>
      </c>
      <c r="M55" s="10" t="s">
        <v>73</v>
      </c>
      <c r="O55" s="10" t="s">
        <v>60</v>
      </c>
      <c r="P55" s="10" t="s">
        <v>61</v>
      </c>
      <c r="Q55" s="12"/>
      <c r="S55" s="12">
        <v>37</v>
      </c>
      <c r="V55" s="10">
        <v>1</v>
      </c>
      <c r="W55" s="13">
        <v>5</v>
      </c>
      <c r="X55" s="10">
        <v>0</v>
      </c>
      <c r="AA55" s="10">
        <v>0</v>
      </c>
      <c r="AB55" s="10">
        <v>0</v>
      </c>
      <c r="AC55" s="10">
        <v>0</v>
      </c>
      <c r="AE55" s="14">
        <v>0</v>
      </c>
      <c r="AG55" s="10">
        <v>0</v>
      </c>
      <c r="AJ55" s="14">
        <v>0</v>
      </c>
      <c r="AK55" s="14">
        <v>0</v>
      </c>
      <c r="AL55" s="10">
        <v>0</v>
      </c>
      <c r="AM55" s="14">
        <v>0</v>
      </c>
      <c r="AO55" s="10">
        <v>0</v>
      </c>
      <c r="AR55" s="10">
        <v>0</v>
      </c>
      <c r="AS55" s="14">
        <v>0</v>
      </c>
      <c r="AT55" s="10">
        <v>0</v>
      </c>
      <c r="AU55" s="14">
        <v>0</v>
      </c>
      <c r="AY55" s="16" t="s">
        <v>68</v>
      </c>
    </row>
    <row r="56" spans="1:51" x14ac:dyDescent="0.3">
      <c r="A56" s="7" t="s">
        <v>64</v>
      </c>
      <c r="B56" s="7" t="s">
        <v>65</v>
      </c>
      <c r="C56" s="8">
        <v>45.960847510000001</v>
      </c>
      <c r="D56" s="8">
        <v>5.3729257779999999</v>
      </c>
      <c r="E56" s="9">
        <v>360</v>
      </c>
      <c r="F56" t="s">
        <v>53</v>
      </c>
      <c r="G56" s="10" t="s">
        <v>54</v>
      </c>
      <c r="H56" s="11">
        <v>-1450</v>
      </c>
      <c r="I56" s="11">
        <v>-1300</v>
      </c>
      <c r="J56" s="10" t="s">
        <v>195</v>
      </c>
      <c r="K56" s="10" t="s">
        <v>57</v>
      </c>
      <c r="L56" s="12" t="s">
        <v>174</v>
      </c>
      <c r="M56" s="10" t="s">
        <v>67</v>
      </c>
      <c r="O56" s="10" t="s">
        <v>60</v>
      </c>
      <c r="P56" s="10" t="s">
        <v>61</v>
      </c>
      <c r="Q56" s="17"/>
      <c r="S56" s="23">
        <v>104</v>
      </c>
      <c r="V56" s="10">
        <v>4</v>
      </c>
      <c r="W56" s="13">
        <v>7</v>
      </c>
      <c r="X56" s="10">
        <v>0</v>
      </c>
      <c r="AA56" s="10">
        <v>0</v>
      </c>
      <c r="AB56" s="10">
        <v>0</v>
      </c>
      <c r="AC56" s="10">
        <v>0</v>
      </c>
      <c r="AE56" s="14">
        <v>0</v>
      </c>
      <c r="AG56" s="14">
        <v>0</v>
      </c>
      <c r="AJ56" s="14">
        <v>0</v>
      </c>
      <c r="AK56" s="14">
        <v>0</v>
      </c>
      <c r="AL56" s="14">
        <v>0</v>
      </c>
      <c r="AM56" s="14">
        <v>0</v>
      </c>
      <c r="AO56" s="14">
        <v>0</v>
      </c>
      <c r="AR56" s="10">
        <v>0</v>
      </c>
      <c r="AS56" s="14">
        <v>0</v>
      </c>
      <c r="AT56" s="14">
        <v>0</v>
      </c>
      <c r="AU56" s="14">
        <v>0</v>
      </c>
      <c r="AY56" s="16" t="s">
        <v>68</v>
      </c>
    </row>
    <row r="57" spans="1:51" x14ac:dyDescent="0.3">
      <c r="A57" s="7" t="s">
        <v>64</v>
      </c>
      <c r="B57" s="7" t="s">
        <v>65</v>
      </c>
      <c r="C57" s="8">
        <v>45.960847510000001</v>
      </c>
      <c r="D57" s="8">
        <v>5.3729257779999999</v>
      </c>
      <c r="E57" s="9">
        <v>360</v>
      </c>
      <c r="F57" t="s">
        <v>53</v>
      </c>
      <c r="G57" s="10" t="s">
        <v>54</v>
      </c>
      <c r="H57" s="11">
        <v>-1050</v>
      </c>
      <c r="I57" s="11">
        <v>-1000</v>
      </c>
      <c r="J57" s="10" t="s">
        <v>195</v>
      </c>
      <c r="K57" s="10" t="s">
        <v>57</v>
      </c>
      <c r="L57" s="12" t="s">
        <v>197</v>
      </c>
      <c r="M57" s="10" t="s">
        <v>67</v>
      </c>
      <c r="O57" s="10" t="s">
        <v>60</v>
      </c>
      <c r="P57" s="10" t="s">
        <v>60</v>
      </c>
      <c r="Q57" s="12"/>
      <c r="S57" s="23">
        <v>37</v>
      </c>
      <c r="V57" s="10">
        <v>2</v>
      </c>
      <c r="W57" s="13">
        <v>5</v>
      </c>
      <c r="X57" s="10">
        <v>0</v>
      </c>
      <c r="AA57" s="10">
        <v>0</v>
      </c>
      <c r="AB57" s="10">
        <v>0</v>
      </c>
      <c r="AC57" s="10">
        <v>0</v>
      </c>
      <c r="AE57" s="14">
        <v>0</v>
      </c>
      <c r="AG57" s="14">
        <v>0</v>
      </c>
      <c r="AJ57" s="14">
        <v>0</v>
      </c>
      <c r="AK57" s="14">
        <v>0</v>
      </c>
      <c r="AL57" s="14">
        <v>0</v>
      </c>
      <c r="AM57" s="14">
        <v>0</v>
      </c>
      <c r="AO57" s="14">
        <v>0</v>
      </c>
      <c r="AR57" s="10">
        <v>0</v>
      </c>
      <c r="AS57" s="14">
        <v>0</v>
      </c>
      <c r="AT57" s="14">
        <v>0</v>
      </c>
      <c r="AU57" s="14">
        <v>0</v>
      </c>
      <c r="AY57" s="16" t="s">
        <v>68</v>
      </c>
    </row>
    <row r="58" spans="1:51" x14ac:dyDescent="0.3">
      <c r="A58" s="7" t="s">
        <v>135</v>
      </c>
      <c r="B58" s="7" t="s">
        <v>136</v>
      </c>
      <c r="C58" s="8">
        <v>45.534991310000002</v>
      </c>
      <c r="D58" s="8">
        <v>4.2765042700000002</v>
      </c>
      <c r="E58" s="9">
        <v>388</v>
      </c>
      <c r="F58" t="s">
        <v>53</v>
      </c>
      <c r="G58" s="10" t="s">
        <v>54</v>
      </c>
      <c r="H58" s="11">
        <v>-1250</v>
      </c>
      <c r="I58" s="11">
        <v>-1050</v>
      </c>
      <c r="J58" s="10" t="s">
        <v>195</v>
      </c>
      <c r="K58" s="10" t="s">
        <v>57</v>
      </c>
      <c r="L58" s="12" t="s">
        <v>198</v>
      </c>
      <c r="M58" s="10" t="s">
        <v>59</v>
      </c>
      <c r="O58" s="10" t="s">
        <v>60</v>
      </c>
      <c r="P58" s="10" t="s">
        <v>61</v>
      </c>
      <c r="Q58" s="12"/>
      <c r="S58" s="12">
        <v>30</v>
      </c>
      <c r="V58" s="10">
        <v>0</v>
      </c>
      <c r="W58" s="13">
        <v>1</v>
      </c>
      <c r="X58" s="10">
        <v>0</v>
      </c>
      <c r="AA58" s="10">
        <v>0</v>
      </c>
      <c r="AB58" s="10">
        <v>0</v>
      </c>
      <c r="AC58" s="10">
        <v>0</v>
      </c>
      <c r="AE58" s="14">
        <v>0</v>
      </c>
      <c r="AG58" s="10">
        <v>0</v>
      </c>
      <c r="AJ58" s="14">
        <v>0</v>
      </c>
      <c r="AK58" s="14">
        <v>0</v>
      </c>
      <c r="AL58" s="10">
        <v>0</v>
      </c>
      <c r="AM58" s="14">
        <v>0</v>
      </c>
      <c r="AO58" s="10">
        <v>0</v>
      </c>
      <c r="AR58" s="10">
        <v>0</v>
      </c>
      <c r="AS58" s="14">
        <v>0</v>
      </c>
      <c r="AT58" s="10">
        <v>0</v>
      </c>
      <c r="AU58" s="14">
        <v>0</v>
      </c>
      <c r="AY58" s="16" t="s">
        <v>63</v>
      </c>
    </row>
    <row r="59" spans="1:51" x14ac:dyDescent="0.3">
      <c r="A59" s="7" t="s">
        <v>199</v>
      </c>
      <c r="B59" s="7" t="s">
        <v>200</v>
      </c>
      <c r="C59" s="8">
        <v>42.535219349999998</v>
      </c>
      <c r="D59" s="8">
        <v>3.024298629</v>
      </c>
      <c r="E59" s="9">
        <v>181</v>
      </c>
      <c r="F59" t="s">
        <v>53</v>
      </c>
      <c r="G59" s="10" t="s">
        <v>54</v>
      </c>
      <c r="H59" s="11">
        <v>-900</v>
      </c>
      <c r="I59" s="11">
        <v>-750</v>
      </c>
      <c r="J59" s="10" t="s">
        <v>195</v>
      </c>
      <c r="K59" s="10" t="s">
        <v>57</v>
      </c>
      <c r="L59" s="12" t="s">
        <v>196</v>
      </c>
      <c r="M59" s="10" t="s">
        <v>73</v>
      </c>
      <c r="O59" s="10" t="s">
        <v>60</v>
      </c>
      <c r="P59" s="10" t="s">
        <v>60</v>
      </c>
      <c r="Q59" s="17"/>
      <c r="S59" s="12">
        <v>428</v>
      </c>
      <c r="V59" s="10">
        <v>0</v>
      </c>
      <c r="W59" s="13">
        <v>14</v>
      </c>
      <c r="X59" s="10">
        <v>0</v>
      </c>
      <c r="AA59" s="10">
        <v>0</v>
      </c>
      <c r="AB59" s="10">
        <v>0</v>
      </c>
      <c r="AC59" s="10">
        <v>0</v>
      </c>
      <c r="AE59" s="14">
        <v>0</v>
      </c>
      <c r="AG59" s="10">
        <v>0</v>
      </c>
      <c r="AJ59" s="14">
        <v>0</v>
      </c>
      <c r="AK59" s="14">
        <v>0</v>
      </c>
      <c r="AL59" s="10">
        <v>0</v>
      </c>
      <c r="AM59" s="14">
        <v>0</v>
      </c>
      <c r="AO59" s="10">
        <v>0</v>
      </c>
      <c r="AR59" s="10">
        <v>0</v>
      </c>
      <c r="AS59" s="14">
        <v>0</v>
      </c>
      <c r="AT59" s="10">
        <v>0</v>
      </c>
      <c r="AU59" s="14">
        <v>0</v>
      </c>
      <c r="AY59" s="16" t="s">
        <v>78</v>
      </c>
    </row>
    <row r="60" spans="1:51" x14ac:dyDescent="0.3">
      <c r="A60" s="7" t="s">
        <v>201</v>
      </c>
      <c r="B60" s="7" t="s">
        <v>202</v>
      </c>
      <c r="C60" s="8">
        <v>42.705784149999999</v>
      </c>
      <c r="D60" s="8">
        <v>2.8206658870000001</v>
      </c>
      <c r="E60" s="9">
        <v>63</v>
      </c>
      <c r="F60" t="s">
        <v>53</v>
      </c>
      <c r="G60" s="10" t="s">
        <v>54</v>
      </c>
      <c r="H60" s="11">
        <v>-1100</v>
      </c>
      <c r="I60" s="11">
        <v>-920</v>
      </c>
      <c r="J60" s="10" t="s">
        <v>195</v>
      </c>
      <c r="K60" s="10" t="s">
        <v>57</v>
      </c>
      <c r="L60" s="12" t="s">
        <v>203</v>
      </c>
      <c r="M60" s="10" t="s">
        <v>73</v>
      </c>
      <c r="O60" s="10" t="s">
        <v>60</v>
      </c>
      <c r="P60" s="10" t="s">
        <v>61</v>
      </c>
      <c r="Q60" s="12"/>
      <c r="S60" s="18">
        <v>17</v>
      </c>
      <c r="V60" s="10">
        <v>0</v>
      </c>
      <c r="W60" s="13">
        <v>3</v>
      </c>
      <c r="X60" s="10">
        <v>0</v>
      </c>
      <c r="AA60" s="10">
        <v>0</v>
      </c>
      <c r="AB60" s="10">
        <v>0</v>
      </c>
      <c r="AC60" s="10">
        <v>0</v>
      </c>
      <c r="AE60" s="14">
        <v>0</v>
      </c>
      <c r="AG60" s="10">
        <v>0</v>
      </c>
      <c r="AJ60" s="14">
        <v>0</v>
      </c>
      <c r="AK60" s="14">
        <v>0</v>
      </c>
      <c r="AL60" s="10">
        <v>0</v>
      </c>
      <c r="AM60" s="14">
        <v>0</v>
      </c>
      <c r="AO60" s="10">
        <v>0</v>
      </c>
      <c r="AR60" s="10">
        <v>0</v>
      </c>
      <c r="AS60" s="14">
        <v>0</v>
      </c>
      <c r="AT60" s="10">
        <v>0</v>
      </c>
      <c r="AU60" s="14">
        <v>0</v>
      </c>
      <c r="AY60" s="16" t="s">
        <v>68</v>
      </c>
    </row>
    <row r="61" spans="1:51" x14ac:dyDescent="0.3">
      <c r="A61" s="7" t="s">
        <v>204</v>
      </c>
      <c r="B61" s="7" t="s">
        <v>205</v>
      </c>
      <c r="C61" s="8">
        <v>43.715742349999999</v>
      </c>
      <c r="D61" s="8">
        <v>6.2020445559999997</v>
      </c>
      <c r="E61" s="9">
        <v>696</v>
      </c>
      <c r="F61" t="s">
        <v>53</v>
      </c>
      <c r="G61" s="10" t="s">
        <v>54</v>
      </c>
      <c r="H61" s="11">
        <v>-1400</v>
      </c>
      <c r="I61" s="11">
        <v>-750</v>
      </c>
      <c r="J61" s="10" t="s">
        <v>195</v>
      </c>
      <c r="K61" s="10" t="s">
        <v>57</v>
      </c>
      <c r="L61" s="12" t="s">
        <v>206</v>
      </c>
      <c r="M61" s="10" t="s">
        <v>67</v>
      </c>
      <c r="O61" s="10" t="s">
        <v>60</v>
      </c>
      <c r="P61" s="10" t="s">
        <v>60</v>
      </c>
      <c r="Q61" s="12"/>
      <c r="S61" s="12">
        <v>205</v>
      </c>
      <c r="V61" s="10">
        <v>10</v>
      </c>
      <c r="W61" s="22">
        <v>1</v>
      </c>
      <c r="X61" s="10">
        <v>0</v>
      </c>
      <c r="AA61" s="10">
        <v>0</v>
      </c>
      <c r="AB61" s="10">
        <v>0</v>
      </c>
      <c r="AC61" s="10">
        <v>0</v>
      </c>
      <c r="AE61" s="14">
        <v>0</v>
      </c>
      <c r="AG61" s="10">
        <v>0</v>
      </c>
      <c r="AJ61" s="10">
        <v>0</v>
      </c>
      <c r="AK61" s="14">
        <v>0</v>
      </c>
      <c r="AL61" s="10">
        <v>0</v>
      </c>
      <c r="AM61" s="14">
        <v>0</v>
      </c>
      <c r="AO61" s="10">
        <v>0</v>
      </c>
      <c r="AR61" s="10">
        <v>0</v>
      </c>
      <c r="AS61" s="14">
        <v>0</v>
      </c>
      <c r="AT61" s="10">
        <v>0</v>
      </c>
      <c r="AU61" s="14">
        <v>0</v>
      </c>
      <c r="AY61" s="16" t="s">
        <v>178</v>
      </c>
    </row>
    <row r="62" spans="1:51" x14ac:dyDescent="0.3">
      <c r="A62" s="7" t="s">
        <v>141</v>
      </c>
      <c r="B62" s="7" t="s">
        <v>142</v>
      </c>
      <c r="C62" s="8">
        <v>42.720809510000002</v>
      </c>
      <c r="D62" s="8">
        <v>2.6237490239999999</v>
      </c>
      <c r="E62" s="9">
        <v>336</v>
      </c>
      <c r="F62" t="s">
        <v>53</v>
      </c>
      <c r="G62" s="10" t="s">
        <v>54</v>
      </c>
      <c r="H62" s="11">
        <v>-1300</v>
      </c>
      <c r="I62" s="11">
        <v>-750</v>
      </c>
      <c r="J62" s="10" t="s">
        <v>195</v>
      </c>
      <c r="K62" s="10" t="s">
        <v>57</v>
      </c>
      <c r="L62" s="12" t="s">
        <v>207</v>
      </c>
      <c r="M62" s="10" t="s">
        <v>67</v>
      </c>
      <c r="O62" s="10" t="s">
        <v>60</v>
      </c>
      <c r="P62" s="10" t="s">
        <v>60</v>
      </c>
      <c r="Q62" s="17"/>
      <c r="S62" s="12">
        <v>223</v>
      </c>
      <c r="V62" s="10">
        <v>1</v>
      </c>
      <c r="W62" s="13">
        <v>2</v>
      </c>
      <c r="X62" s="10">
        <v>0</v>
      </c>
      <c r="AA62" s="10">
        <v>0</v>
      </c>
      <c r="AB62" s="10">
        <v>0</v>
      </c>
      <c r="AC62" s="10">
        <v>0</v>
      </c>
      <c r="AE62" s="14">
        <v>0</v>
      </c>
      <c r="AG62" s="10">
        <v>1</v>
      </c>
      <c r="AJ62" s="10">
        <v>1</v>
      </c>
      <c r="AK62" s="14">
        <v>0</v>
      </c>
      <c r="AL62" s="10">
        <v>1</v>
      </c>
      <c r="AM62" s="14">
        <v>0</v>
      </c>
      <c r="AN62" s="10" t="s">
        <v>62</v>
      </c>
      <c r="AO62" s="10">
        <v>0</v>
      </c>
      <c r="AR62" s="10">
        <v>0</v>
      </c>
      <c r="AS62" s="14">
        <v>0</v>
      </c>
      <c r="AT62" s="10">
        <v>0</v>
      </c>
      <c r="AU62" s="14">
        <v>0</v>
      </c>
      <c r="AY62" s="16" t="s">
        <v>96</v>
      </c>
    </row>
    <row r="63" spans="1:51" x14ac:dyDescent="0.3">
      <c r="A63" s="7" t="s">
        <v>208</v>
      </c>
      <c r="B63" s="7" t="s">
        <v>209</v>
      </c>
      <c r="C63" s="8">
        <v>43.347588330000001</v>
      </c>
      <c r="D63" s="8">
        <v>3.2307675420000002</v>
      </c>
      <c r="E63" s="9">
        <v>45</v>
      </c>
      <c r="F63" t="s">
        <v>53</v>
      </c>
      <c r="G63" s="10" t="s">
        <v>54</v>
      </c>
      <c r="H63" s="11">
        <v>-1350</v>
      </c>
      <c r="I63" s="11">
        <v>-725</v>
      </c>
      <c r="J63" s="10" t="s">
        <v>195</v>
      </c>
      <c r="K63" s="10" t="s">
        <v>57</v>
      </c>
      <c r="L63" s="12" t="s">
        <v>206</v>
      </c>
      <c r="M63" s="10" t="s">
        <v>73</v>
      </c>
      <c r="O63" s="10" t="s">
        <v>60</v>
      </c>
      <c r="P63" s="10" t="s">
        <v>61</v>
      </c>
      <c r="Q63" s="12"/>
      <c r="S63" s="12">
        <v>373</v>
      </c>
      <c r="V63" s="10">
        <v>0</v>
      </c>
      <c r="W63" s="13">
        <v>5</v>
      </c>
      <c r="X63" s="10">
        <v>0</v>
      </c>
      <c r="AA63" s="10">
        <v>0</v>
      </c>
      <c r="AB63" s="10">
        <v>0</v>
      </c>
      <c r="AC63" s="10">
        <v>0</v>
      </c>
      <c r="AE63" s="14">
        <v>0</v>
      </c>
      <c r="AG63" s="10">
        <v>0</v>
      </c>
      <c r="AJ63" s="14">
        <v>0</v>
      </c>
      <c r="AK63" s="14">
        <v>0</v>
      </c>
      <c r="AL63" s="10">
        <v>0</v>
      </c>
      <c r="AM63" s="14">
        <v>0</v>
      </c>
      <c r="AO63" s="10">
        <v>0</v>
      </c>
      <c r="AR63" s="10">
        <v>0</v>
      </c>
      <c r="AS63" s="14">
        <v>0</v>
      </c>
      <c r="AT63" s="10">
        <v>0</v>
      </c>
      <c r="AU63" s="14">
        <v>0</v>
      </c>
      <c r="AY63" s="16" t="s">
        <v>131</v>
      </c>
    </row>
    <row r="64" spans="1:51" x14ac:dyDescent="0.3">
      <c r="A64" s="7" t="s">
        <v>71</v>
      </c>
      <c r="B64" s="7" t="s">
        <v>72</v>
      </c>
      <c r="C64" s="8">
        <v>44.288201639999997</v>
      </c>
      <c r="D64" s="8">
        <v>4.7523595629999997</v>
      </c>
      <c r="E64" s="9">
        <v>81</v>
      </c>
      <c r="F64" t="s">
        <v>53</v>
      </c>
      <c r="G64" s="10" t="s">
        <v>54</v>
      </c>
      <c r="H64" s="11">
        <v>-900</v>
      </c>
      <c r="I64" s="11">
        <v>-750</v>
      </c>
      <c r="J64" s="10" t="s">
        <v>195</v>
      </c>
      <c r="K64" s="10" t="s">
        <v>57</v>
      </c>
      <c r="L64" s="12" t="s">
        <v>196</v>
      </c>
      <c r="M64" s="10" t="s">
        <v>73</v>
      </c>
      <c r="O64" s="10" t="s">
        <v>60</v>
      </c>
      <c r="P64" s="10" t="s">
        <v>61</v>
      </c>
      <c r="Q64" s="12"/>
      <c r="S64" s="12">
        <v>188</v>
      </c>
      <c r="V64" s="10">
        <v>0</v>
      </c>
      <c r="W64" s="13">
        <v>26</v>
      </c>
      <c r="X64" s="10">
        <v>0</v>
      </c>
      <c r="AA64" s="10">
        <v>0</v>
      </c>
      <c r="AB64" s="10">
        <v>0</v>
      </c>
      <c r="AC64" s="10">
        <v>0</v>
      </c>
      <c r="AE64" s="14">
        <v>0</v>
      </c>
      <c r="AG64" s="10">
        <v>0</v>
      </c>
      <c r="AJ64" s="10">
        <v>0</v>
      </c>
      <c r="AK64" s="14">
        <v>0</v>
      </c>
      <c r="AL64" s="10">
        <v>0</v>
      </c>
      <c r="AM64" s="14">
        <v>0</v>
      </c>
      <c r="AO64" s="10">
        <v>0</v>
      </c>
      <c r="AR64" s="10">
        <v>0</v>
      </c>
      <c r="AS64" s="14">
        <v>0</v>
      </c>
      <c r="AT64" s="10">
        <v>0</v>
      </c>
      <c r="AU64" s="14">
        <v>0</v>
      </c>
      <c r="AY64" s="16" t="s">
        <v>74</v>
      </c>
    </row>
    <row r="65" spans="1:51" x14ac:dyDescent="0.3">
      <c r="A65" s="7" t="s">
        <v>75</v>
      </c>
      <c r="B65" s="7" t="s">
        <v>76</v>
      </c>
      <c r="C65" s="8">
        <v>43.447229659999998</v>
      </c>
      <c r="D65" s="8">
        <v>5.4123705610000004</v>
      </c>
      <c r="E65" s="9">
        <v>219</v>
      </c>
      <c r="F65" t="s">
        <v>53</v>
      </c>
      <c r="G65" s="10" t="s">
        <v>54</v>
      </c>
      <c r="H65" s="11">
        <v>-900</v>
      </c>
      <c r="I65" s="11">
        <v>-750</v>
      </c>
      <c r="J65" s="10" t="s">
        <v>195</v>
      </c>
      <c r="K65" s="10" t="s">
        <v>57</v>
      </c>
      <c r="L65" s="12" t="s">
        <v>196</v>
      </c>
      <c r="M65" s="10" t="s">
        <v>77</v>
      </c>
      <c r="O65" s="10" t="s">
        <v>60</v>
      </c>
      <c r="P65" s="10" t="s">
        <v>60</v>
      </c>
      <c r="Q65" s="12"/>
      <c r="S65" s="12">
        <v>17</v>
      </c>
      <c r="V65" s="10">
        <v>1</v>
      </c>
      <c r="W65" s="13">
        <v>7</v>
      </c>
      <c r="X65" s="10">
        <v>0</v>
      </c>
      <c r="AA65" s="10">
        <v>0</v>
      </c>
      <c r="AB65" s="10">
        <v>0</v>
      </c>
      <c r="AC65" s="10">
        <v>0</v>
      </c>
      <c r="AE65" s="14">
        <v>0</v>
      </c>
      <c r="AG65" s="10">
        <v>0</v>
      </c>
      <c r="AJ65" s="14">
        <v>0</v>
      </c>
      <c r="AK65" s="14">
        <v>0</v>
      </c>
      <c r="AL65" s="10">
        <v>0</v>
      </c>
      <c r="AM65" s="14">
        <v>0</v>
      </c>
      <c r="AO65" s="14">
        <v>0</v>
      </c>
      <c r="AR65" s="10">
        <v>0</v>
      </c>
      <c r="AS65" s="14">
        <v>0</v>
      </c>
      <c r="AT65" s="14">
        <v>0</v>
      </c>
      <c r="AU65" s="14">
        <v>0</v>
      </c>
      <c r="AY65" s="16" t="s">
        <v>78</v>
      </c>
    </row>
    <row r="66" spans="1:51" x14ac:dyDescent="0.3">
      <c r="A66" s="7" t="s">
        <v>79</v>
      </c>
      <c r="B66" s="7" t="s">
        <v>80</v>
      </c>
      <c r="C66" s="8">
        <v>45.664798050000002</v>
      </c>
      <c r="D66" s="8">
        <v>6.7663790390000003</v>
      </c>
      <c r="E66" s="9">
        <v>966</v>
      </c>
      <c r="F66" t="s">
        <v>53</v>
      </c>
      <c r="G66" s="10" t="s">
        <v>54</v>
      </c>
      <c r="H66" s="11">
        <v>-1350</v>
      </c>
      <c r="I66" s="11">
        <v>-1225</v>
      </c>
      <c r="J66" s="10" t="s">
        <v>195</v>
      </c>
      <c r="K66" s="10" t="s">
        <v>57</v>
      </c>
      <c r="L66" s="12" t="s">
        <v>210</v>
      </c>
      <c r="M66" s="10" t="s">
        <v>73</v>
      </c>
      <c r="O66" s="10" t="s">
        <v>60</v>
      </c>
      <c r="P66" s="10" t="s">
        <v>61</v>
      </c>
      <c r="Q66" s="12"/>
      <c r="S66" s="10">
        <v>100</v>
      </c>
      <c r="V66" s="10">
        <v>35</v>
      </c>
      <c r="W66" s="13">
        <v>1</v>
      </c>
      <c r="X66" s="10">
        <v>0</v>
      </c>
      <c r="AA66" s="10">
        <v>0</v>
      </c>
      <c r="AB66" s="10">
        <v>0</v>
      </c>
      <c r="AC66" s="10">
        <v>0</v>
      </c>
      <c r="AE66" s="14">
        <v>0</v>
      </c>
      <c r="AG66" s="10">
        <v>1</v>
      </c>
      <c r="AJ66" s="10">
        <v>2</v>
      </c>
      <c r="AK66" s="14">
        <v>0</v>
      </c>
      <c r="AL66" s="10">
        <v>1</v>
      </c>
      <c r="AM66" s="14">
        <v>0</v>
      </c>
      <c r="AN66" s="10" t="s">
        <v>62</v>
      </c>
      <c r="AO66" s="10">
        <v>0</v>
      </c>
      <c r="AR66" s="10">
        <v>0</v>
      </c>
      <c r="AS66" s="14">
        <v>0</v>
      </c>
      <c r="AT66" s="10">
        <v>0</v>
      </c>
      <c r="AU66" s="14">
        <v>0</v>
      </c>
      <c r="AY66" s="16" t="s">
        <v>81</v>
      </c>
    </row>
    <row r="67" spans="1:51" x14ac:dyDescent="0.3">
      <c r="A67" s="7" t="s">
        <v>211</v>
      </c>
      <c r="B67" s="7" t="s">
        <v>212</v>
      </c>
      <c r="C67" s="8">
        <v>45.739521369999999</v>
      </c>
      <c r="D67" s="8">
        <v>5.8823560019999999</v>
      </c>
      <c r="E67" s="9">
        <v>337</v>
      </c>
      <c r="F67" t="s">
        <v>53</v>
      </c>
      <c r="G67" s="10" t="s">
        <v>54</v>
      </c>
      <c r="H67" s="11">
        <v>-900</v>
      </c>
      <c r="I67" s="11">
        <v>-850</v>
      </c>
      <c r="J67" s="10" t="s">
        <v>195</v>
      </c>
      <c r="K67" s="10" t="s">
        <v>57</v>
      </c>
      <c r="L67" s="12" t="s">
        <v>196</v>
      </c>
      <c r="M67" s="10" t="s">
        <v>73</v>
      </c>
      <c r="O67" s="10" t="s">
        <v>60</v>
      </c>
      <c r="P67" s="10" t="s">
        <v>61</v>
      </c>
      <c r="Q67" s="12"/>
      <c r="S67" s="12">
        <v>7279</v>
      </c>
      <c r="V67" s="10">
        <v>27</v>
      </c>
      <c r="W67" s="13">
        <v>2</v>
      </c>
      <c r="X67" s="10">
        <v>0</v>
      </c>
      <c r="AA67" s="10">
        <v>0</v>
      </c>
      <c r="AB67" s="10">
        <v>0</v>
      </c>
      <c r="AC67" s="10">
        <v>0</v>
      </c>
      <c r="AE67" s="14">
        <v>0</v>
      </c>
      <c r="AG67" s="10">
        <v>1</v>
      </c>
      <c r="AJ67" s="10">
        <v>1</v>
      </c>
      <c r="AK67" s="14">
        <v>0</v>
      </c>
      <c r="AL67" s="10">
        <v>1</v>
      </c>
      <c r="AM67" s="14">
        <v>0</v>
      </c>
      <c r="AN67" s="10" t="s">
        <v>62</v>
      </c>
      <c r="AO67" s="10">
        <v>0</v>
      </c>
      <c r="AR67" s="10">
        <v>0</v>
      </c>
      <c r="AS67" s="14">
        <v>0</v>
      </c>
      <c r="AT67" s="10">
        <v>0</v>
      </c>
      <c r="AU67" s="14">
        <v>0</v>
      </c>
      <c r="AY67" s="16" t="s">
        <v>68</v>
      </c>
    </row>
    <row r="68" spans="1:51" x14ac:dyDescent="0.3">
      <c r="A68" s="7" t="s">
        <v>213</v>
      </c>
      <c r="B68" s="7" t="s">
        <v>212</v>
      </c>
      <c r="C68" s="8">
        <v>45.739521369999999</v>
      </c>
      <c r="D68" s="8">
        <v>5.8823560019999999</v>
      </c>
      <c r="E68" s="9">
        <v>337</v>
      </c>
      <c r="F68" t="s">
        <v>53</v>
      </c>
      <c r="G68" s="10" t="s">
        <v>54</v>
      </c>
      <c r="H68" s="11">
        <v>-900</v>
      </c>
      <c r="I68" s="11">
        <v>-850</v>
      </c>
      <c r="J68" s="10" t="s">
        <v>195</v>
      </c>
      <c r="K68" s="10" t="s">
        <v>57</v>
      </c>
      <c r="L68" s="12" t="s">
        <v>196</v>
      </c>
      <c r="M68" s="10" t="s">
        <v>73</v>
      </c>
      <c r="O68" s="10" t="s">
        <v>60</v>
      </c>
      <c r="P68" s="10" t="s">
        <v>61</v>
      </c>
      <c r="Q68" s="12"/>
      <c r="S68" s="12">
        <v>5275</v>
      </c>
      <c r="V68" s="10">
        <v>6</v>
      </c>
      <c r="W68" s="13">
        <v>8</v>
      </c>
      <c r="X68" s="10">
        <v>0</v>
      </c>
      <c r="AA68" s="10">
        <v>0</v>
      </c>
      <c r="AB68" s="10">
        <v>0</v>
      </c>
      <c r="AC68" s="10">
        <v>0</v>
      </c>
      <c r="AE68" s="14">
        <v>0</v>
      </c>
      <c r="AG68" s="10">
        <v>1</v>
      </c>
      <c r="AJ68" s="10">
        <v>1</v>
      </c>
      <c r="AK68" s="14">
        <v>0</v>
      </c>
      <c r="AL68" s="10">
        <v>1</v>
      </c>
      <c r="AM68" s="14">
        <v>0</v>
      </c>
      <c r="AN68" s="10" t="s">
        <v>62</v>
      </c>
      <c r="AO68" s="10">
        <v>0</v>
      </c>
      <c r="AR68" s="10">
        <v>0</v>
      </c>
      <c r="AS68" s="14">
        <v>0</v>
      </c>
      <c r="AT68" s="10">
        <v>0</v>
      </c>
      <c r="AU68" s="14">
        <v>0</v>
      </c>
      <c r="AY68" s="16" t="s">
        <v>68</v>
      </c>
    </row>
    <row r="69" spans="1:51" x14ac:dyDescent="0.3">
      <c r="A69" s="7" t="s">
        <v>214</v>
      </c>
      <c r="B69" s="7" t="s">
        <v>215</v>
      </c>
      <c r="C69" s="8">
        <v>43.209379839999997</v>
      </c>
      <c r="D69" s="8">
        <v>2.3439885540000001</v>
      </c>
      <c r="E69" s="9">
        <v>129</v>
      </c>
      <c r="F69" t="s">
        <v>53</v>
      </c>
      <c r="G69" s="10" t="s">
        <v>54</v>
      </c>
      <c r="H69" s="11">
        <v>-1050</v>
      </c>
      <c r="I69" s="11">
        <v>-750</v>
      </c>
      <c r="J69" s="10" t="s">
        <v>195</v>
      </c>
      <c r="K69" s="10" t="s">
        <v>57</v>
      </c>
      <c r="L69" s="12" t="s">
        <v>216</v>
      </c>
      <c r="M69" s="10" t="s">
        <v>73</v>
      </c>
      <c r="O69" s="10" t="s">
        <v>60</v>
      </c>
      <c r="P69" s="10" t="s">
        <v>60</v>
      </c>
      <c r="Q69" s="12"/>
      <c r="S69" s="12">
        <v>5</v>
      </c>
      <c r="V69" s="10">
        <v>0</v>
      </c>
      <c r="W69" s="13">
        <v>1</v>
      </c>
      <c r="X69" s="10">
        <v>0</v>
      </c>
      <c r="AA69" s="10">
        <v>0</v>
      </c>
      <c r="AB69" s="10">
        <v>0</v>
      </c>
      <c r="AC69" s="10">
        <v>0</v>
      </c>
      <c r="AE69" s="14">
        <v>0</v>
      </c>
      <c r="AG69" s="10">
        <v>0</v>
      </c>
      <c r="AJ69" s="14">
        <v>0</v>
      </c>
      <c r="AK69" s="14">
        <v>0</v>
      </c>
      <c r="AL69" s="10">
        <v>0</v>
      </c>
      <c r="AM69" s="14">
        <v>0</v>
      </c>
      <c r="AO69" s="14">
        <v>0</v>
      </c>
      <c r="AR69" s="10">
        <v>0</v>
      </c>
      <c r="AS69" s="14">
        <v>0</v>
      </c>
      <c r="AT69" s="14">
        <v>0</v>
      </c>
      <c r="AU69" s="14">
        <v>0</v>
      </c>
      <c r="AY69" s="16" t="s">
        <v>178</v>
      </c>
    </row>
    <row r="70" spans="1:51" x14ac:dyDescent="0.3">
      <c r="A70" s="7" t="s">
        <v>217</v>
      </c>
      <c r="B70" s="7" t="s">
        <v>218</v>
      </c>
      <c r="C70" s="8">
        <v>43.638021879999997</v>
      </c>
      <c r="D70" s="8">
        <v>3.9126541600000002</v>
      </c>
      <c r="E70" s="9">
        <v>50</v>
      </c>
      <c r="F70" t="s">
        <v>53</v>
      </c>
      <c r="G70" s="10" t="s">
        <v>54</v>
      </c>
      <c r="H70" s="11">
        <v>-900</v>
      </c>
      <c r="I70" s="11">
        <v>-725</v>
      </c>
      <c r="J70" s="10" t="s">
        <v>195</v>
      </c>
      <c r="K70" s="10" t="s">
        <v>57</v>
      </c>
      <c r="L70" s="12" t="s">
        <v>196</v>
      </c>
      <c r="M70" s="10" t="s">
        <v>73</v>
      </c>
      <c r="O70" s="10" t="s">
        <v>60</v>
      </c>
      <c r="P70" s="10" t="s">
        <v>61</v>
      </c>
      <c r="Q70" s="12"/>
      <c r="S70" s="12">
        <v>30</v>
      </c>
      <c r="V70" s="10">
        <v>1</v>
      </c>
      <c r="W70" s="13">
        <v>2</v>
      </c>
      <c r="X70" s="10">
        <v>0</v>
      </c>
      <c r="AA70" s="10">
        <v>0</v>
      </c>
      <c r="AB70" s="10">
        <v>0</v>
      </c>
      <c r="AC70" s="10">
        <v>0</v>
      </c>
      <c r="AE70" s="14">
        <v>0</v>
      </c>
      <c r="AG70" s="10">
        <v>0</v>
      </c>
      <c r="AJ70" s="14">
        <v>0</v>
      </c>
      <c r="AK70" s="14">
        <v>0</v>
      </c>
      <c r="AL70" s="10">
        <v>0</v>
      </c>
      <c r="AM70" s="14">
        <v>0</v>
      </c>
      <c r="AO70" s="10">
        <v>0</v>
      </c>
      <c r="AR70" s="10">
        <v>0</v>
      </c>
      <c r="AS70" s="14">
        <v>0</v>
      </c>
      <c r="AT70" s="10">
        <v>0</v>
      </c>
      <c r="AU70" s="14">
        <v>0</v>
      </c>
      <c r="AY70" s="16" t="s">
        <v>131</v>
      </c>
    </row>
    <row r="71" spans="1:51" x14ac:dyDescent="0.3">
      <c r="A71" s="7" t="s">
        <v>219</v>
      </c>
      <c r="B71" s="7" t="s">
        <v>220</v>
      </c>
      <c r="C71" s="8">
        <v>43.168983539999999</v>
      </c>
      <c r="D71" s="8">
        <v>2.33479006</v>
      </c>
      <c r="E71" s="9">
        <v>162</v>
      </c>
      <c r="F71" t="s">
        <v>53</v>
      </c>
      <c r="G71" s="10" t="s">
        <v>54</v>
      </c>
      <c r="H71" s="11">
        <v>-1300</v>
      </c>
      <c r="I71" s="11">
        <v>-1050</v>
      </c>
      <c r="J71" s="10" t="s">
        <v>195</v>
      </c>
      <c r="K71" s="10" t="s">
        <v>57</v>
      </c>
      <c r="L71" s="12" t="s">
        <v>198</v>
      </c>
      <c r="M71" s="10" t="s">
        <v>77</v>
      </c>
      <c r="O71" s="10" t="s">
        <v>60</v>
      </c>
      <c r="P71" s="10" t="s">
        <v>60</v>
      </c>
      <c r="Q71" s="12"/>
      <c r="S71" s="12">
        <v>3</v>
      </c>
      <c r="V71" s="10">
        <v>0</v>
      </c>
      <c r="W71" s="13">
        <v>1</v>
      </c>
      <c r="X71" s="10">
        <v>0</v>
      </c>
      <c r="AA71" s="10">
        <v>0</v>
      </c>
      <c r="AB71" s="10">
        <v>0</v>
      </c>
      <c r="AC71" s="10">
        <v>0</v>
      </c>
      <c r="AE71" s="14">
        <v>0</v>
      </c>
      <c r="AG71" s="10">
        <v>0</v>
      </c>
      <c r="AJ71" s="14">
        <v>0</v>
      </c>
      <c r="AK71" s="14">
        <v>0</v>
      </c>
      <c r="AL71" s="10">
        <v>0</v>
      </c>
      <c r="AM71" s="14">
        <v>0</v>
      </c>
      <c r="AO71" s="14">
        <v>0</v>
      </c>
      <c r="AR71" s="10">
        <v>0</v>
      </c>
      <c r="AS71" s="14">
        <v>0</v>
      </c>
      <c r="AT71" s="14">
        <v>0</v>
      </c>
      <c r="AU71" s="14">
        <v>0</v>
      </c>
      <c r="AY71" s="16" t="s">
        <v>78</v>
      </c>
    </row>
    <row r="72" spans="1:51" s="15" customFormat="1" x14ac:dyDescent="0.3">
      <c r="A72" s="7" t="s">
        <v>221</v>
      </c>
      <c r="B72" s="7" t="s">
        <v>222</v>
      </c>
      <c r="C72" s="8">
        <v>45.95333677</v>
      </c>
      <c r="D72" s="8">
        <v>5.5368250530000003</v>
      </c>
      <c r="E72" s="9">
        <v>770</v>
      </c>
      <c r="F72" t="s">
        <v>53</v>
      </c>
      <c r="G72" s="10" t="s">
        <v>54</v>
      </c>
      <c r="H72" s="11">
        <v>-1100</v>
      </c>
      <c r="I72" s="11">
        <v>-900</v>
      </c>
      <c r="J72" s="10" t="s">
        <v>195</v>
      </c>
      <c r="K72" s="10" t="s">
        <v>57</v>
      </c>
      <c r="L72" s="12" t="s">
        <v>223</v>
      </c>
      <c r="M72" s="10" t="s">
        <v>67</v>
      </c>
      <c r="N72" s="10"/>
      <c r="O72" s="10" t="s">
        <v>60</v>
      </c>
      <c r="P72" s="10" t="s">
        <v>61</v>
      </c>
      <c r="Q72" s="17"/>
      <c r="R72" s="10"/>
      <c r="S72" s="12">
        <v>16311</v>
      </c>
      <c r="T72" s="10"/>
      <c r="U72" s="10"/>
      <c r="V72" s="10">
        <v>980</v>
      </c>
      <c r="W72" s="13">
        <v>3</v>
      </c>
      <c r="X72" s="10">
        <v>0</v>
      </c>
      <c r="Y72" s="10"/>
      <c r="Z72" s="10"/>
      <c r="AA72" s="10">
        <v>0</v>
      </c>
      <c r="AB72" s="10">
        <v>0</v>
      </c>
      <c r="AC72" s="10">
        <v>0</v>
      </c>
      <c r="AD72" s="10"/>
      <c r="AE72" s="14">
        <v>0</v>
      </c>
      <c r="AF72" s="10"/>
      <c r="AG72" s="14">
        <v>0</v>
      </c>
      <c r="AH72" s="10"/>
      <c r="AI72" s="10"/>
      <c r="AJ72" s="14">
        <v>0</v>
      </c>
      <c r="AK72" s="14">
        <v>0</v>
      </c>
      <c r="AL72" s="14">
        <v>0</v>
      </c>
      <c r="AM72" s="14">
        <v>0</v>
      </c>
      <c r="AN72" s="10"/>
      <c r="AO72" s="14">
        <v>0</v>
      </c>
      <c r="AP72" s="10"/>
      <c r="AQ72" s="10"/>
      <c r="AR72" s="10">
        <v>0</v>
      </c>
      <c r="AS72" s="14">
        <v>0</v>
      </c>
      <c r="AT72" s="14">
        <v>0</v>
      </c>
      <c r="AU72" s="14">
        <v>0</v>
      </c>
      <c r="AV72" s="10"/>
      <c r="AW72"/>
      <c r="AY72" s="16" t="s">
        <v>68</v>
      </c>
    </row>
    <row r="73" spans="1:51" s="15" customFormat="1" x14ac:dyDescent="0.3">
      <c r="A73" s="7" t="s">
        <v>224</v>
      </c>
      <c r="B73" s="7" t="s">
        <v>89</v>
      </c>
      <c r="C73" s="8">
        <v>46.310407509999997</v>
      </c>
      <c r="D73" s="8">
        <v>6.2677314270000002</v>
      </c>
      <c r="E73" s="9">
        <v>418</v>
      </c>
      <c r="F73" t="s">
        <v>53</v>
      </c>
      <c r="G73" s="10" t="s">
        <v>54</v>
      </c>
      <c r="H73" s="11">
        <v>-1350</v>
      </c>
      <c r="I73" s="11">
        <v>-750</v>
      </c>
      <c r="J73" s="10" t="s">
        <v>195</v>
      </c>
      <c r="K73" s="10" t="s">
        <v>57</v>
      </c>
      <c r="L73" s="18" t="s">
        <v>206</v>
      </c>
      <c r="M73" s="10" t="s">
        <v>73</v>
      </c>
      <c r="N73" s="10"/>
      <c r="O73" s="10" t="s">
        <v>60</v>
      </c>
      <c r="P73" s="10" t="s">
        <v>61</v>
      </c>
      <c r="Q73" s="12"/>
      <c r="R73" s="10"/>
      <c r="S73" s="12">
        <v>425</v>
      </c>
      <c r="T73" s="10"/>
      <c r="U73" s="10"/>
      <c r="V73" s="10">
        <v>2</v>
      </c>
      <c r="W73" s="13">
        <v>10</v>
      </c>
      <c r="X73" s="10">
        <v>0</v>
      </c>
      <c r="Y73" s="10"/>
      <c r="Z73" s="10"/>
      <c r="AA73" s="10">
        <v>0</v>
      </c>
      <c r="AB73" s="10">
        <v>0</v>
      </c>
      <c r="AC73" s="10">
        <v>0</v>
      </c>
      <c r="AD73" s="10"/>
      <c r="AE73" s="14">
        <v>0</v>
      </c>
      <c r="AF73" s="10"/>
      <c r="AG73" s="10">
        <v>0</v>
      </c>
      <c r="AH73" s="10"/>
      <c r="AI73" s="10"/>
      <c r="AJ73" s="10">
        <v>0</v>
      </c>
      <c r="AK73" s="14">
        <v>0</v>
      </c>
      <c r="AL73" s="10">
        <v>0</v>
      </c>
      <c r="AM73" s="14">
        <v>0</v>
      </c>
      <c r="AN73" s="10"/>
      <c r="AO73" s="10">
        <v>0</v>
      </c>
      <c r="AP73" s="10"/>
      <c r="AQ73" s="10"/>
      <c r="AR73" s="10">
        <v>0</v>
      </c>
      <c r="AS73" s="14">
        <v>0</v>
      </c>
      <c r="AT73" s="10">
        <v>0</v>
      </c>
      <c r="AU73" s="14">
        <v>0</v>
      </c>
      <c r="AV73" s="10"/>
      <c r="AW73"/>
      <c r="AY73" s="16" t="s">
        <v>63</v>
      </c>
    </row>
    <row r="74" spans="1:51" x14ac:dyDescent="0.3">
      <c r="A74" s="7" t="s">
        <v>88</v>
      </c>
      <c r="B74" s="7" t="s">
        <v>89</v>
      </c>
      <c r="C74" s="8">
        <v>46.310407509999997</v>
      </c>
      <c r="D74" s="8">
        <v>6.2677314270000002</v>
      </c>
      <c r="E74" s="9">
        <v>418</v>
      </c>
      <c r="F74" t="s">
        <v>53</v>
      </c>
      <c r="G74" s="10" t="s">
        <v>54</v>
      </c>
      <c r="H74" s="11">
        <v>-1250</v>
      </c>
      <c r="I74" s="11">
        <v>-750</v>
      </c>
      <c r="J74" s="10" t="s">
        <v>195</v>
      </c>
      <c r="K74" s="10" t="s">
        <v>57</v>
      </c>
      <c r="L74" s="18" t="s">
        <v>207</v>
      </c>
      <c r="M74" s="10" t="s">
        <v>73</v>
      </c>
      <c r="O74" s="10" t="s">
        <v>60</v>
      </c>
      <c r="P74" s="10" t="s">
        <v>61</v>
      </c>
      <c r="Q74" s="12"/>
      <c r="S74" s="12">
        <v>194</v>
      </c>
      <c r="V74" s="10">
        <v>6</v>
      </c>
      <c r="W74" s="13">
        <v>17</v>
      </c>
      <c r="X74" s="10">
        <v>0</v>
      </c>
      <c r="AA74" s="10">
        <v>0</v>
      </c>
      <c r="AB74" s="10">
        <v>0</v>
      </c>
      <c r="AC74" s="10">
        <v>0</v>
      </c>
      <c r="AE74" s="14">
        <v>0</v>
      </c>
      <c r="AG74" s="10">
        <v>0</v>
      </c>
      <c r="AJ74" s="10">
        <v>0</v>
      </c>
      <c r="AK74" s="14">
        <v>0</v>
      </c>
      <c r="AL74" s="10">
        <v>0</v>
      </c>
      <c r="AM74" s="14">
        <v>0</v>
      </c>
      <c r="AO74" s="10">
        <v>0</v>
      </c>
      <c r="AR74" s="10">
        <v>0</v>
      </c>
      <c r="AS74" s="14">
        <v>0</v>
      </c>
      <c r="AT74" s="10">
        <v>0</v>
      </c>
      <c r="AU74" s="14">
        <v>0</v>
      </c>
      <c r="AY74" s="16" t="s">
        <v>63</v>
      </c>
    </row>
    <row r="75" spans="1:51" x14ac:dyDescent="0.3">
      <c r="A75" s="7" t="s">
        <v>154</v>
      </c>
      <c r="B75" s="7" t="s">
        <v>89</v>
      </c>
      <c r="C75" s="8">
        <v>46.310407509999997</v>
      </c>
      <c r="D75" s="8">
        <v>6.2677314270000002</v>
      </c>
      <c r="E75" s="9">
        <v>418</v>
      </c>
      <c r="F75" t="s">
        <v>53</v>
      </c>
      <c r="G75" s="10" t="s">
        <v>54</v>
      </c>
      <c r="H75" s="11">
        <v>-1300</v>
      </c>
      <c r="I75" s="11">
        <v>-1100</v>
      </c>
      <c r="J75" s="10" t="s">
        <v>195</v>
      </c>
      <c r="K75" s="10" t="s">
        <v>57</v>
      </c>
      <c r="L75" s="18" t="s">
        <v>225</v>
      </c>
      <c r="M75" s="10" t="s">
        <v>73</v>
      </c>
      <c r="O75" s="10" t="s">
        <v>60</v>
      </c>
      <c r="P75" s="10" t="s">
        <v>61</v>
      </c>
      <c r="Q75" s="12"/>
      <c r="S75" s="12">
        <v>40</v>
      </c>
      <c r="V75" s="10">
        <v>0</v>
      </c>
      <c r="W75" s="13">
        <v>5</v>
      </c>
      <c r="X75" s="10">
        <v>0</v>
      </c>
      <c r="AA75" s="10">
        <v>0</v>
      </c>
      <c r="AB75" s="10">
        <v>0</v>
      </c>
      <c r="AC75" s="10">
        <v>0</v>
      </c>
      <c r="AE75" s="14">
        <v>0</v>
      </c>
      <c r="AG75" s="10">
        <v>0</v>
      </c>
      <c r="AJ75" s="10">
        <v>0</v>
      </c>
      <c r="AK75" s="14">
        <v>0</v>
      </c>
      <c r="AL75" s="10">
        <v>0</v>
      </c>
      <c r="AM75" s="14">
        <v>0</v>
      </c>
      <c r="AO75" s="10">
        <v>0</v>
      </c>
      <c r="AR75" s="10">
        <v>0</v>
      </c>
      <c r="AS75" s="14">
        <v>0</v>
      </c>
      <c r="AT75" s="10">
        <v>0</v>
      </c>
      <c r="AU75" s="14">
        <v>0</v>
      </c>
      <c r="AY75" s="16" t="s">
        <v>63</v>
      </c>
    </row>
    <row r="76" spans="1:51" x14ac:dyDescent="0.3">
      <c r="A76" s="7" t="s">
        <v>226</v>
      </c>
      <c r="B76" s="7" t="s">
        <v>227</v>
      </c>
      <c r="C76" s="8">
        <v>45.816667000000002</v>
      </c>
      <c r="D76" s="8">
        <v>5.85</v>
      </c>
      <c r="E76" s="9">
        <v>300</v>
      </c>
      <c r="F76" t="s">
        <v>53</v>
      </c>
      <c r="G76" s="10" t="s">
        <v>54</v>
      </c>
      <c r="H76" s="11">
        <v>-900</v>
      </c>
      <c r="I76" s="11">
        <v>-814</v>
      </c>
      <c r="J76" s="10" t="s">
        <v>195</v>
      </c>
      <c r="K76" s="10" t="s">
        <v>57</v>
      </c>
      <c r="L76" s="12" t="s">
        <v>196</v>
      </c>
      <c r="M76" s="10" t="s">
        <v>73</v>
      </c>
      <c r="O76" s="10" t="s">
        <v>60</v>
      </c>
      <c r="P76" s="10" t="s">
        <v>61</v>
      </c>
      <c r="Q76" s="12"/>
      <c r="S76" s="12">
        <v>7</v>
      </c>
      <c r="V76" s="10">
        <v>2</v>
      </c>
      <c r="W76" s="13">
        <v>10</v>
      </c>
      <c r="X76" s="10">
        <v>0</v>
      </c>
      <c r="AA76" s="10">
        <v>0</v>
      </c>
      <c r="AB76" s="10">
        <v>0</v>
      </c>
      <c r="AC76" s="10">
        <v>0</v>
      </c>
      <c r="AE76" s="14">
        <v>0</v>
      </c>
      <c r="AG76" s="10">
        <v>0</v>
      </c>
      <c r="AJ76" s="10">
        <v>0</v>
      </c>
      <c r="AK76" s="14">
        <v>0</v>
      </c>
      <c r="AL76" s="10">
        <v>0</v>
      </c>
      <c r="AM76" s="14">
        <v>0</v>
      </c>
      <c r="AO76" s="10">
        <v>0</v>
      </c>
      <c r="AR76" s="10">
        <v>0</v>
      </c>
      <c r="AS76" s="14">
        <v>0</v>
      </c>
      <c r="AT76" s="10">
        <v>0</v>
      </c>
      <c r="AU76" s="14">
        <v>0</v>
      </c>
      <c r="AY76" s="16" t="s">
        <v>228</v>
      </c>
    </row>
    <row r="77" spans="1:51" x14ac:dyDescent="0.3">
      <c r="A77" s="7" t="s">
        <v>94</v>
      </c>
      <c r="B77" s="7" t="s">
        <v>95</v>
      </c>
      <c r="C77" s="8">
        <v>42.659851519999997</v>
      </c>
      <c r="D77" s="8">
        <v>2.6824784209999999</v>
      </c>
      <c r="E77" s="9">
        <v>158</v>
      </c>
      <c r="F77" t="s">
        <v>53</v>
      </c>
      <c r="G77" s="10" t="s">
        <v>54</v>
      </c>
      <c r="H77" s="11">
        <v>-1250</v>
      </c>
      <c r="I77" s="11">
        <v>-750</v>
      </c>
      <c r="J77" s="10" t="s">
        <v>195</v>
      </c>
      <c r="K77" s="10" t="s">
        <v>57</v>
      </c>
      <c r="L77" s="12" t="s">
        <v>206</v>
      </c>
      <c r="M77" s="10" t="s">
        <v>67</v>
      </c>
      <c r="O77" s="10" t="s">
        <v>60</v>
      </c>
      <c r="P77" s="10" t="s">
        <v>60</v>
      </c>
      <c r="Q77" s="17"/>
      <c r="S77" s="12">
        <v>260</v>
      </c>
      <c r="V77" s="10">
        <v>1</v>
      </c>
      <c r="W77" s="13">
        <v>113</v>
      </c>
      <c r="X77" s="10">
        <v>0</v>
      </c>
      <c r="AA77" s="10">
        <v>0</v>
      </c>
      <c r="AB77" s="10">
        <v>0</v>
      </c>
      <c r="AC77" s="10">
        <v>0</v>
      </c>
      <c r="AE77" s="14">
        <v>0</v>
      </c>
      <c r="AG77" s="10">
        <v>1</v>
      </c>
      <c r="AJ77" s="10">
        <v>1</v>
      </c>
      <c r="AK77" s="14">
        <v>0</v>
      </c>
      <c r="AL77" s="10">
        <v>1</v>
      </c>
      <c r="AM77" s="14">
        <v>0</v>
      </c>
      <c r="AO77" s="10">
        <v>0</v>
      </c>
      <c r="AR77" s="10">
        <v>0</v>
      </c>
      <c r="AS77" s="14">
        <v>0</v>
      </c>
      <c r="AT77" s="10">
        <v>0</v>
      </c>
      <c r="AU77" s="14">
        <v>0</v>
      </c>
      <c r="AY77" s="16" t="s">
        <v>96</v>
      </c>
    </row>
    <row r="78" spans="1:51" x14ac:dyDescent="0.3">
      <c r="A78" s="20" t="s">
        <v>97</v>
      </c>
      <c r="B78" s="7" t="s">
        <v>98</v>
      </c>
      <c r="C78" s="8">
        <v>45.742967</v>
      </c>
      <c r="D78" s="8">
        <v>3.1868758160000001</v>
      </c>
      <c r="E78" s="9">
        <v>375</v>
      </c>
      <c r="F78" t="s">
        <v>53</v>
      </c>
      <c r="G78" s="10" t="s">
        <v>54</v>
      </c>
      <c r="H78" s="11">
        <v>-1350</v>
      </c>
      <c r="I78" s="11">
        <v>-800</v>
      </c>
      <c r="J78" s="10" t="s">
        <v>195</v>
      </c>
      <c r="K78" s="10" t="s">
        <v>57</v>
      </c>
      <c r="L78" s="12" t="s">
        <v>206</v>
      </c>
      <c r="M78" s="10" t="s">
        <v>77</v>
      </c>
      <c r="O78" s="10" t="s">
        <v>60</v>
      </c>
      <c r="P78" s="10" t="s">
        <v>61</v>
      </c>
      <c r="Q78" s="12"/>
      <c r="S78" s="12">
        <v>1</v>
      </c>
      <c r="V78" s="10">
        <v>0</v>
      </c>
      <c r="W78" s="13">
        <v>2</v>
      </c>
      <c r="X78" s="10">
        <v>0</v>
      </c>
      <c r="AA78" s="10">
        <v>0</v>
      </c>
      <c r="AB78" s="10">
        <v>0</v>
      </c>
      <c r="AC78" s="10">
        <v>0</v>
      </c>
      <c r="AE78" s="14">
        <v>0</v>
      </c>
      <c r="AG78" s="10">
        <v>0</v>
      </c>
      <c r="AJ78" s="14">
        <v>0</v>
      </c>
      <c r="AK78" s="14">
        <v>0</v>
      </c>
      <c r="AL78" s="10">
        <v>0</v>
      </c>
      <c r="AM78" s="14">
        <v>0</v>
      </c>
      <c r="AO78" s="10">
        <v>0</v>
      </c>
      <c r="AR78" s="10">
        <v>0</v>
      </c>
      <c r="AS78" s="14">
        <v>0</v>
      </c>
      <c r="AT78" s="10">
        <v>0</v>
      </c>
      <c r="AU78" s="14">
        <v>0</v>
      </c>
      <c r="AY78" s="16" t="s">
        <v>63</v>
      </c>
    </row>
    <row r="79" spans="1:51" x14ac:dyDescent="0.3">
      <c r="A79" s="7" t="s">
        <v>229</v>
      </c>
      <c r="B79" s="7" t="s">
        <v>230</v>
      </c>
      <c r="C79" s="8">
        <v>44.432109019999999</v>
      </c>
      <c r="D79" s="8">
        <v>4.7089286929999998</v>
      </c>
      <c r="E79" s="9">
        <v>81</v>
      </c>
      <c r="F79" t="s">
        <v>53</v>
      </c>
      <c r="G79" s="10" t="s">
        <v>54</v>
      </c>
      <c r="H79" s="11">
        <v>-900</v>
      </c>
      <c r="I79" s="11">
        <v>-750</v>
      </c>
      <c r="J79" s="10" t="s">
        <v>195</v>
      </c>
      <c r="K79" s="10" t="s">
        <v>57</v>
      </c>
      <c r="L79" s="12" t="s">
        <v>196</v>
      </c>
      <c r="M79" s="10" t="s">
        <v>67</v>
      </c>
      <c r="O79" s="10" t="s">
        <v>60</v>
      </c>
      <c r="P79" s="10" t="s">
        <v>60</v>
      </c>
      <c r="Q79" s="12"/>
      <c r="S79" s="12">
        <v>4</v>
      </c>
      <c r="V79" s="10">
        <v>0</v>
      </c>
      <c r="W79" s="13">
        <v>1</v>
      </c>
      <c r="X79" s="10">
        <v>0</v>
      </c>
      <c r="AA79" s="10">
        <v>0</v>
      </c>
      <c r="AB79" s="10">
        <v>0</v>
      </c>
      <c r="AC79" s="10">
        <v>0</v>
      </c>
      <c r="AE79" s="14">
        <v>0</v>
      </c>
      <c r="AG79" s="10">
        <v>0</v>
      </c>
      <c r="AJ79" s="14">
        <v>0</v>
      </c>
      <c r="AK79" s="14">
        <v>0</v>
      </c>
      <c r="AL79" s="10">
        <v>0</v>
      </c>
      <c r="AM79" s="14">
        <v>0</v>
      </c>
      <c r="AO79" s="14">
        <v>0</v>
      </c>
      <c r="AR79" s="10">
        <v>0</v>
      </c>
      <c r="AS79" s="14">
        <v>0</v>
      </c>
      <c r="AT79" s="14">
        <v>0</v>
      </c>
      <c r="AU79" s="14">
        <v>0</v>
      </c>
      <c r="AY79" s="16" t="s">
        <v>78</v>
      </c>
    </row>
    <row r="80" spans="1:51" x14ac:dyDescent="0.3">
      <c r="A80" s="7" t="s">
        <v>231</v>
      </c>
      <c r="B80" s="7" t="s">
        <v>232</v>
      </c>
      <c r="C80" s="8">
        <v>45.944037039999998</v>
      </c>
      <c r="D80" s="8">
        <v>6.0822697740000002</v>
      </c>
      <c r="E80" s="9">
        <v>476</v>
      </c>
      <c r="F80" t="s">
        <v>53</v>
      </c>
      <c r="G80" s="10" t="s">
        <v>54</v>
      </c>
      <c r="H80" s="11">
        <v>-1350</v>
      </c>
      <c r="I80" s="11">
        <v>-750</v>
      </c>
      <c r="J80" s="10" t="s">
        <v>195</v>
      </c>
      <c r="K80" s="10" t="s">
        <v>57</v>
      </c>
      <c r="L80" s="12" t="s">
        <v>206</v>
      </c>
      <c r="M80" s="10" t="s">
        <v>73</v>
      </c>
      <c r="O80" s="10" t="s">
        <v>60</v>
      </c>
      <c r="P80" s="10" t="s">
        <v>61</v>
      </c>
      <c r="Q80" s="12"/>
      <c r="S80" s="12">
        <v>2</v>
      </c>
      <c r="V80" s="10">
        <v>0</v>
      </c>
      <c r="W80" s="13">
        <v>3</v>
      </c>
      <c r="X80" s="10">
        <v>0</v>
      </c>
      <c r="AA80" s="10">
        <v>0</v>
      </c>
      <c r="AB80" s="10">
        <v>0</v>
      </c>
      <c r="AC80" s="10">
        <v>0</v>
      </c>
      <c r="AE80" s="14">
        <v>0</v>
      </c>
      <c r="AG80" s="10">
        <v>0</v>
      </c>
      <c r="AJ80" s="10">
        <v>0</v>
      </c>
      <c r="AK80" s="14">
        <v>0</v>
      </c>
      <c r="AL80" s="10">
        <v>0</v>
      </c>
      <c r="AM80" s="14">
        <v>0</v>
      </c>
      <c r="AO80" s="10">
        <v>0</v>
      </c>
      <c r="AR80" s="10">
        <v>0</v>
      </c>
      <c r="AS80" s="14">
        <v>0</v>
      </c>
      <c r="AT80" s="10">
        <v>0</v>
      </c>
      <c r="AU80" s="14">
        <v>0</v>
      </c>
      <c r="AY80" s="16" t="s">
        <v>161</v>
      </c>
    </row>
    <row r="81" spans="1:51" x14ac:dyDescent="0.3">
      <c r="A81" s="7" t="s">
        <v>233</v>
      </c>
      <c r="B81" s="7" t="s">
        <v>234</v>
      </c>
      <c r="C81" s="8">
        <v>42.455157870000001</v>
      </c>
      <c r="D81" s="8">
        <v>2.1088542690000001</v>
      </c>
      <c r="E81" s="9">
        <v>2078</v>
      </c>
      <c r="F81" t="s">
        <v>53</v>
      </c>
      <c r="G81" s="10" t="s">
        <v>54</v>
      </c>
      <c r="H81" s="11">
        <v>-1050</v>
      </c>
      <c r="I81" s="11">
        <v>-750</v>
      </c>
      <c r="J81" s="10" t="s">
        <v>195</v>
      </c>
      <c r="K81" s="10" t="s">
        <v>57</v>
      </c>
      <c r="L81" s="12" t="s">
        <v>216</v>
      </c>
      <c r="M81" s="10" t="s">
        <v>77</v>
      </c>
      <c r="O81" s="10" t="s">
        <v>60</v>
      </c>
      <c r="P81" s="10" t="s">
        <v>60</v>
      </c>
      <c r="Q81" s="12"/>
      <c r="S81" s="12">
        <v>326</v>
      </c>
      <c r="V81" s="10">
        <v>1</v>
      </c>
      <c r="W81" s="13">
        <v>7</v>
      </c>
      <c r="X81" s="10">
        <v>0</v>
      </c>
      <c r="AA81" s="10">
        <v>0</v>
      </c>
      <c r="AB81" s="10">
        <v>0</v>
      </c>
      <c r="AC81" s="10">
        <v>0</v>
      </c>
      <c r="AE81" s="14">
        <v>0</v>
      </c>
      <c r="AG81" s="10">
        <v>0</v>
      </c>
      <c r="AJ81" s="10">
        <v>0</v>
      </c>
      <c r="AK81" s="14">
        <v>0</v>
      </c>
      <c r="AL81" s="10">
        <v>0</v>
      </c>
      <c r="AM81" s="14">
        <v>0</v>
      </c>
      <c r="AO81" s="10">
        <v>0</v>
      </c>
      <c r="AR81" s="10">
        <v>0</v>
      </c>
      <c r="AS81" s="14">
        <v>0</v>
      </c>
      <c r="AT81" s="10">
        <v>0</v>
      </c>
      <c r="AU81" s="14">
        <v>0</v>
      </c>
      <c r="AY81" s="16" t="s">
        <v>235</v>
      </c>
    </row>
    <row r="82" spans="1:51" x14ac:dyDescent="0.3">
      <c r="A82" s="7" t="s">
        <v>158</v>
      </c>
      <c r="B82" s="7" t="s">
        <v>159</v>
      </c>
      <c r="C82" s="8">
        <v>45.737593670000003</v>
      </c>
      <c r="D82" s="8">
        <v>4.2191088670000001</v>
      </c>
      <c r="E82" s="9">
        <v>327</v>
      </c>
      <c r="F82" t="s">
        <v>53</v>
      </c>
      <c r="G82" s="10" t="s">
        <v>54</v>
      </c>
      <c r="H82" s="11">
        <v>-1350</v>
      </c>
      <c r="I82" s="11">
        <v>-750</v>
      </c>
      <c r="J82" s="10" t="s">
        <v>195</v>
      </c>
      <c r="K82" s="10" t="s">
        <v>57</v>
      </c>
      <c r="L82" s="12" t="s">
        <v>206</v>
      </c>
      <c r="M82" s="10" t="s">
        <v>119</v>
      </c>
      <c r="O82" s="10" t="s">
        <v>60</v>
      </c>
      <c r="P82" s="10" t="s">
        <v>61</v>
      </c>
      <c r="Q82" s="12"/>
      <c r="S82" s="12">
        <v>1</v>
      </c>
      <c r="V82" s="10">
        <v>1</v>
      </c>
      <c r="W82" s="13">
        <v>1</v>
      </c>
      <c r="X82" s="10">
        <v>0</v>
      </c>
      <c r="AA82" s="10">
        <v>0</v>
      </c>
      <c r="AB82" s="10">
        <v>0</v>
      </c>
      <c r="AC82" s="10">
        <v>0</v>
      </c>
      <c r="AE82" s="14">
        <v>0</v>
      </c>
      <c r="AG82" s="10">
        <v>0</v>
      </c>
      <c r="AJ82" s="14">
        <v>0</v>
      </c>
      <c r="AK82" s="14">
        <v>0</v>
      </c>
      <c r="AL82" s="10">
        <v>0</v>
      </c>
      <c r="AM82" s="14">
        <v>0</v>
      </c>
      <c r="AO82" s="10">
        <v>0</v>
      </c>
      <c r="AR82" s="10">
        <v>0</v>
      </c>
      <c r="AS82" s="14">
        <v>0</v>
      </c>
      <c r="AT82" s="10">
        <v>0</v>
      </c>
      <c r="AU82" s="14">
        <v>0</v>
      </c>
      <c r="AW82" t="s">
        <v>160</v>
      </c>
      <c r="AY82" s="16" t="s">
        <v>161</v>
      </c>
    </row>
    <row r="83" spans="1:51" x14ac:dyDescent="0.3">
      <c r="A83" s="7" t="s">
        <v>236</v>
      </c>
      <c r="B83" s="7" t="s">
        <v>237</v>
      </c>
      <c r="C83" s="8">
        <v>43.178620870000003</v>
      </c>
      <c r="D83" s="8">
        <v>2.4851348550000001</v>
      </c>
      <c r="E83" s="9">
        <v>139</v>
      </c>
      <c r="F83" t="s">
        <v>53</v>
      </c>
      <c r="G83" s="10" t="s">
        <v>54</v>
      </c>
      <c r="H83" s="11">
        <v>-1050</v>
      </c>
      <c r="I83" s="11">
        <v>-900</v>
      </c>
      <c r="J83" s="10" t="s">
        <v>195</v>
      </c>
      <c r="K83" s="10" t="s">
        <v>57</v>
      </c>
      <c r="L83" s="12" t="s">
        <v>197</v>
      </c>
      <c r="M83" s="10" t="s">
        <v>77</v>
      </c>
      <c r="O83" s="10" t="s">
        <v>60</v>
      </c>
      <c r="P83" s="10" t="s">
        <v>60</v>
      </c>
      <c r="Q83" s="12"/>
      <c r="S83" s="12">
        <v>62</v>
      </c>
      <c r="V83" s="10">
        <v>0</v>
      </c>
      <c r="W83" s="13">
        <v>1</v>
      </c>
      <c r="X83" s="10">
        <v>0</v>
      </c>
      <c r="AA83" s="10">
        <v>0</v>
      </c>
      <c r="AB83" s="10">
        <v>0</v>
      </c>
      <c r="AC83" s="10">
        <v>0</v>
      </c>
      <c r="AE83" s="14">
        <v>0</v>
      </c>
      <c r="AG83" s="10">
        <v>0</v>
      </c>
      <c r="AJ83" s="14">
        <v>0</v>
      </c>
      <c r="AK83" s="14">
        <v>0</v>
      </c>
      <c r="AL83" s="10">
        <v>0</v>
      </c>
      <c r="AM83" s="14">
        <v>0</v>
      </c>
      <c r="AO83" s="14">
        <v>0</v>
      </c>
      <c r="AR83" s="10">
        <v>0</v>
      </c>
      <c r="AS83" s="14">
        <v>0</v>
      </c>
      <c r="AT83" s="14">
        <v>0</v>
      </c>
      <c r="AU83" s="14">
        <v>0</v>
      </c>
      <c r="AY83" s="16" t="s">
        <v>78</v>
      </c>
    </row>
    <row r="84" spans="1:51" s="27" customFormat="1" ht="28.8" x14ac:dyDescent="0.3">
      <c r="A84" s="20" t="s">
        <v>238</v>
      </c>
      <c r="B84" s="20" t="s">
        <v>239</v>
      </c>
      <c r="C84" s="25">
        <v>43.563859409999999</v>
      </c>
      <c r="D84" s="25">
        <v>3.9022622290000002</v>
      </c>
      <c r="E84" s="26">
        <v>7</v>
      </c>
      <c r="F84" s="27" t="s">
        <v>53</v>
      </c>
      <c r="G84" s="14" t="s">
        <v>54</v>
      </c>
      <c r="H84" s="28">
        <v>-1400</v>
      </c>
      <c r="I84" s="28">
        <v>-1200</v>
      </c>
      <c r="J84" s="14" t="s">
        <v>195</v>
      </c>
      <c r="K84" s="14" t="s">
        <v>57</v>
      </c>
      <c r="L84" s="29" t="s">
        <v>174</v>
      </c>
      <c r="M84" s="14" t="s">
        <v>73</v>
      </c>
      <c r="N84" s="14" t="s">
        <v>119</v>
      </c>
      <c r="O84" s="14" t="s">
        <v>60</v>
      </c>
      <c r="P84" s="14" t="s">
        <v>61</v>
      </c>
      <c r="Q84" s="18"/>
      <c r="R84" s="14"/>
      <c r="S84" s="18">
        <v>1</v>
      </c>
      <c r="T84" s="14"/>
      <c r="U84" s="14"/>
      <c r="V84" s="14">
        <v>0</v>
      </c>
      <c r="W84" s="30">
        <v>1</v>
      </c>
      <c r="X84" s="14">
        <v>0</v>
      </c>
      <c r="Y84" s="14"/>
      <c r="Z84" s="14"/>
      <c r="AA84" s="14">
        <v>0</v>
      </c>
      <c r="AB84" s="14">
        <v>0</v>
      </c>
      <c r="AC84" s="14">
        <v>0</v>
      </c>
      <c r="AD84" s="14"/>
      <c r="AE84" s="14">
        <v>0</v>
      </c>
      <c r="AF84" s="14"/>
      <c r="AG84" s="14">
        <v>0</v>
      </c>
      <c r="AH84" s="14"/>
      <c r="AI84" s="14"/>
      <c r="AJ84" s="14">
        <v>0</v>
      </c>
      <c r="AK84" s="14">
        <v>0</v>
      </c>
      <c r="AL84" s="14">
        <v>0</v>
      </c>
      <c r="AM84" s="14">
        <v>0</v>
      </c>
      <c r="AN84" s="14"/>
      <c r="AO84" s="14">
        <v>0</v>
      </c>
      <c r="AP84" s="14"/>
      <c r="AQ84" s="14"/>
      <c r="AR84" s="14">
        <v>0</v>
      </c>
      <c r="AS84" s="14">
        <v>0</v>
      </c>
      <c r="AT84" s="14">
        <v>0</v>
      </c>
      <c r="AU84" s="14">
        <v>0</v>
      </c>
      <c r="AV84" s="14"/>
      <c r="AX84" s="15"/>
      <c r="AY84" s="16" t="s">
        <v>240</v>
      </c>
    </row>
    <row r="85" spans="1:51" s="15" customFormat="1" ht="28.8" x14ac:dyDescent="0.3">
      <c r="A85" s="20" t="s">
        <v>238</v>
      </c>
      <c r="B85" s="20" t="s">
        <v>239</v>
      </c>
      <c r="C85" s="25">
        <v>43.563859409999999</v>
      </c>
      <c r="D85" s="25">
        <v>3.9022622290000002</v>
      </c>
      <c r="E85" s="26">
        <v>7</v>
      </c>
      <c r="F85" s="27" t="s">
        <v>53</v>
      </c>
      <c r="G85" s="14" t="s">
        <v>54</v>
      </c>
      <c r="H85" s="28">
        <v>-1050</v>
      </c>
      <c r="I85" s="28">
        <v>-1000</v>
      </c>
      <c r="J85" s="14" t="s">
        <v>195</v>
      </c>
      <c r="K85" s="14" t="s">
        <v>57</v>
      </c>
      <c r="L85" s="31" t="s">
        <v>223</v>
      </c>
      <c r="M85" s="14" t="s">
        <v>73</v>
      </c>
      <c r="N85" s="14" t="s">
        <v>119</v>
      </c>
      <c r="O85" s="14" t="s">
        <v>60</v>
      </c>
      <c r="P85" s="14" t="s">
        <v>61</v>
      </c>
      <c r="Q85" s="18"/>
      <c r="R85" s="14"/>
      <c r="S85" s="18">
        <v>36</v>
      </c>
      <c r="T85" s="14"/>
      <c r="U85" s="14"/>
      <c r="V85" s="14">
        <v>0</v>
      </c>
      <c r="W85" s="30">
        <v>3</v>
      </c>
      <c r="X85" s="14">
        <v>0</v>
      </c>
      <c r="Y85" s="14"/>
      <c r="Z85" s="14"/>
      <c r="AA85" s="14">
        <v>0</v>
      </c>
      <c r="AB85" s="14">
        <v>0</v>
      </c>
      <c r="AC85" s="14">
        <v>0</v>
      </c>
      <c r="AD85" s="14"/>
      <c r="AE85" s="14">
        <v>0</v>
      </c>
      <c r="AF85" s="14"/>
      <c r="AG85" s="14">
        <v>0</v>
      </c>
      <c r="AH85" s="14"/>
      <c r="AI85" s="14"/>
      <c r="AJ85" s="14">
        <v>0</v>
      </c>
      <c r="AK85" s="14">
        <v>0</v>
      </c>
      <c r="AL85" s="14">
        <v>0</v>
      </c>
      <c r="AM85" s="14">
        <v>0</v>
      </c>
      <c r="AN85" s="14"/>
      <c r="AO85" s="14">
        <v>0</v>
      </c>
      <c r="AP85" s="14"/>
      <c r="AQ85" s="14"/>
      <c r="AR85" s="14">
        <v>0</v>
      </c>
      <c r="AS85" s="14">
        <v>0</v>
      </c>
      <c r="AT85" s="14">
        <v>0</v>
      </c>
      <c r="AU85" s="14">
        <v>0</v>
      </c>
      <c r="AV85" s="14"/>
      <c r="AW85" s="27"/>
      <c r="AY85" s="16" t="s">
        <v>240</v>
      </c>
    </row>
    <row r="86" spans="1:51" s="27" customFormat="1" ht="28.8" x14ac:dyDescent="0.3">
      <c r="A86" s="20" t="s">
        <v>238</v>
      </c>
      <c r="B86" s="20" t="s">
        <v>239</v>
      </c>
      <c r="C86" s="25">
        <v>43.563859409999999</v>
      </c>
      <c r="D86" s="25">
        <v>3.9022622290000002</v>
      </c>
      <c r="E86" s="26">
        <v>7</v>
      </c>
      <c r="F86" s="27" t="s">
        <v>53</v>
      </c>
      <c r="G86" s="14" t="s">
        <v>54</v>
      </c>
      <c r="H86" s="28">
        <v>-900</v>
      </c>
      <c r="I86" s="28">
        <v>-800</v>
      </c>
      <c r="J86" s="14" t="s">
        <v>195</v>
      </c>
      <c r="K86" s="14" t="s">
        <v>57</v>
      </c>
      <c r="L86" s="31" t="s">
        <v>196</v>
      </c>
      <c r="M86" s="14" t="s">
        <v>73</v>
      </c>
      <c r="N86" s="14" t="s">
        <v>241</v>
      </c>
      <c r="O86" s="14" t="s">
        <v>60</v>
      </c>
      <c r="P86" s="14" t="s">
        <v>61</v>
      </c>
      <c r="Q86" s="18"/>
      <c r="R86" s="14"/>
      <c r="S86" s="18">
        <v>27151</v>
      </c>
      <c r="T86" s="14"/>
      <c r="U86" s="14"/>
      <c r="V86" s="14">
        <v>0</v>
      </c>
      <c r="W86" s="32">
        <v>1</v>
      </c>
      <c r="X86" s="14">
        <v>0</v>
      </c>
      <c r="Y86" s="14"/>
      <c r="Z86" s="14"/>
      <c r="AA86" s="14">
        <v>0</v>
      </c>
      <c r="AB86" s="14">
        <v>0</v>
      </c>
      <c r="AC86" s="14">
        <v>0</v>
      </c>
      <c r="AD86" s="14"/>
      <c r="AE86" s="14">
        <v>0</v>
      </c>
      <c r="AF86" s="14"/>
      <c r="AG86" s="14">
        <v>0</v>
      </c>
      <c r="AH86" s="14"/>
      <c r="AI86" s="14"/>
      <c r="AJ86" s="14">
        <v>0</v>
      </c>
      <c r="AK86" s="14">
        <v>0</v>
      </c>
      <c r="AL86" s="14">
        <v>0</v>
      </c>
      <c r="AM86" s="14">
        <v>0</v>
      </c>
      <c r="AN86" s="14"/>
      <c r="AO86" s="14">
        <v>0</v>
      </c>
      <c r="AP86" s="14"/>
      <c r="AQ86" s="14"/>
      <c r="AR86" s="14">
        <v>0</v>
      </c>
      <c r="AS86" s="14">
        <v>0</v>
      </c>
      <c r="AT86" s="14">
        <v>0</v>
      </c>
      <c r="AU86" s="14">
        <v>0</v>
      </c>
      <c r="AV86" s="14"/>
      <c r="AX86" s="15"/>
      <c r="AY86" s="16" t="s">
        <v>240</v>
      </c>
    </row>
    <row r="87" spans="1:51" x14ac:dyDescent="0.3">
      <c r="A87" s="7" t="s">
        <v>242</v>
      </c>
      <c r="B87" s="7" t="s">
        <v>243</v>
      </c>
      <c r="C87" s="8">
        <v>43.450988209999998</v>
      </c>
      <c r="D87" s="8">
        <v>6.4897022120000001</v>
      </c>
      <c r="E87" s="9">
        <v>115</v>
      </c>
      <c r="F87" t="s">
        <v>53</v>
      </c>
      <c r="G87" s="10" t="s">
        <v>54</v>
      </c>
      <c r="H87" s="11">
        <v>-1250</v>
      </c>
      <c r="I87" s="11">
        <v>-900</v>
      </c>
      <c r="J87" s="10" t="s">
        <v>195</v>
      </c>
      <c r="K87" s="10" t="s">
        <v>57</v>
      </c>
      <c r="L87" s="12" t="s">
        <v>223</v>
      </c>
      <c r="M87" s="10" t="s">
        <v>73</v>
      </c>
      <c r="O87" s="10" t="s">
        <v>60</v>
      </c>
      <c r="P87" s="10" t="s">
        <v>61</v>
      </c>
      <c r="Q87" s="12"/>
      <c r="S87" s="12">
        <v>3</v>
      </c>
      <c r="V87" s="10">
        <v>0</v>
      </c>
      <c r="W87" s="13">
        <v>1</v>
      </c>
      <c r="X87" s="10">
        <v>0</v>
      </c>
      <c r="AA87" s="10">
        <v>0</v>
      </c>
      <c r="AB87" s="10">
        <v>0</v>
      </c>
      <c r="AC87" s="10">
        <v>0</v>
      </c>
      <c r="AE87" s="14">
        <v>0</v>
      </c>
      <c r="AG87" s="10">
        <v>0</v>
      </c>
      <c r="AJ87" s="10">
        <v>0</v>
      </c>
      <c r="AK87" s="14">
        <v>0</v>
      </c>
      <c r="AL87" s="10">
        <v>0</v>
      </c>
      <c r="AM87" s="14">
        <v>0</v>
      </c>
      <c r="AO87" s="10">
        <v>0</v>
      </c>
      <c r="AR87" s="10">
        <v>0</v>
      </c>
      <c r="AS87" s="14">
        <v>0</v>
      </c>
      <c r="AT87" s="10">
        <v>0</v>
      </c>
      <c r="AU87" s="14">
        <v>0</v>
      </c>
      <c r="AY87" s="16" t="s">
        <v>78</v>
      </c>
    </row>
    <row r="88" spans="1:51" x14ac:dyDescent="0.3">
      <c r="A88" s="7" t="s">
        <v>169</v>
      </c>
      <c r="B88" s="7" t="s">
        <v>170</v>
      </c>
      <c r="C88" s="8">
        <v>42.433582170000001</v>
      </c>
      <c r="D88" s="8">
        <v>2.09024996</v>
      </c>
      <c r="E88" s="9">
        <v>1630</v>
      </c>
      <c r="F88" t="s">
        <v>53</v>
      </c>
      <c r="G88" s="10" t="s">
        <v>54</v>
      </c>
      <c r="H88" s="11">
        <v>-1350</v>
      </c>
      <c r="I88" s="11">
        <v>-800</v>
      </c>
      <c r="J88" s="10" t="s">
        <v>195</v>
      </c>
      <c r="K88" s="10" t="s">
        <v>57</v>
      </c>
      <c r="L88" s="12" t="s">
        <v>206</v>
      </c>
      <c r="M88" s="10" t="s">
        <v>73</v>
      </c>
      <c r="O88" s="10" t="s">
        <v>60</v>
      </c>
      <c r="P88" s="10" t="s">
        <v>61</v>
      </c>
      <c r="Q88" s="12"/>
      <c r="S88" s="12">
        <v>2276</v>
      </c>
      <c r="V88" s="10">
        <v>6750</v>
      </c>
      <c r="W88" s="13">
        <v>10</v>
      </c>
      <c r="X88" s="10">
        <v>1</v>
      </c>
      <c r="AA88" s="10">
        <v>6</v>
      </c>
      <c r="AB88" s="10">
        <v>0</v>
      </c>
      <c r="AC88" s="10">
        <v>1</v>
      </c>
      <c r="AE88" s="14">
        <v>0</v>
      </c>
      <c r="AG88" s="10">
        <v>1</v>
      </c>
      <c r="AJ88" s="10">
        <v>6695</v>
      </c>
      <c r="AK88" s="14">
        <v>0</v>
      </c>
      <c r="AL88" s="10">
        <v>5</v>
      </c>
      <c r="AM88" s="14">
        <v>1</v>
      </c>
      <c r="AN88" s="10" t="s">
        <v>62</v>
      </c>
      <c r="AO88" s="10">
        <v>0</v>
      </c>
      <c r="AR88" s="10">
        <v>0</v>
      </c>
      <c r="AS88" s="14">
        <v>0</v>
      </c>
      <c r="AT88" s="10">
        <v>0</v>
      </c>
      <c r="AU88" s="14">
        <v>0</v>
      </c>
      <c r="AY88" s="16" t="s">
        <v>171</v>
      </c>
    </row>
    <row r="89" spans="1:51" x14ac:dyDescent="0.3">
      <c r="A89" s="7" t="s">
        <v>244</v>
      </c>
      <c r="B89" s="7" t="s">
        <v>106</v>
      </c>
      <c r="C89" s="8">
        <v>45.781780589999997</v>
      </c>
      <c r="D89" s="8">
        <v>4.8081832779999996</v>
      </c>
      <c r="E89" s="9">
        <v>202</v>
      </c>
      <c r="F89" t="s">
        <v>53</v>
      </c>
      <c r="G89" s="10" t="s">
        <v>54</v>
      </c>
      <c r="H89" s="11">
        <v>-900</v>
      </c>
      <c r="I89" s="11">
        <v>-700</v>
      </c>
      <c r="J89" s="10" t="s">
        <v>195</v>
      </c>
      <c r="K89" s="10" t="s">
        <v>57</v>
      </c>
      <c r="L89" s="12" t="s">
        <v>196</v>
      </c>
      <c r="M89" s="10" t="s">
        <v>73</v>
      </c>
      <c r="O89" s="10" t="s">
        <v>60</v>
      </c>
      <c r="P89" s="10" t="s">
        <v>61</v>
      </c>
      <c r="Q89" s="12"/>
      <c r="S89" s="12">
        <v>48</v>
      </c>
      <c r="V89" s="10">
        <v>3</v>
      </c>
      <c r="W89" s="13">
        <v>1</v>
      </c>
      <c r="X89" s="10">
        <v>1</v>
      </c>
      <c r="AA89" s="10">
        <v>1</v>
      </c>
      <c r="AB89" s="10">
        <v>0</v>
      </c>
      <c r="AC89" s="10">
        <v>1</v>
      </c>
      <c r="AE89" s="14">
        <v>0</v>
      </c>
      <c r="AG89" s="10">
        <v>0</v>
      </c>
      <c r="AJ89" s="10">
        <v>0</v>
      </c>
      <c r="AK89" s="14">
        <v>0</v>
      </c>
      <c r="AL89" s="10">
        <v>0</v>
      </c>
      <c r="AM89" s="14">
        <v>0</v>
      </c>
      <c r="AO89" s="10">
        <v>0</v>
      </c>
      <c r="AR89" s="10">
        <v>0</v>
      </c>
      <c r="AS89" s="14">
        <v>0</v>
      </c>
      <c r="AT89" s="10">
        <v>0</v>
      </c>
      <c r="AU89" s="14">
        <v>0</v>
      </c>
      <c r="AY89" s="16" t="s">
        <v>68</v>
      </c>
    </row>
    <row r="90" spans="1:51" s="15" customFormat="1" x14ac:dyDescent="0.3">
      <c r="A90" s="7" t="s">
        <v>105</v>
      </c>
      <c r="B90" s="7" t="s">
        <v>106</v>
      </c>
      <c r="C90" s="8">
        <v>45.771727740000003</v>
      </c>
      <c r="D90" s="8">
        <v>4.9614270459999998</v>
      </c>
      <c r="E90" s="9">
        <v>189</v>
      </c>
      <c r="F90" t="s">
        <v>53</v>
      </c>
      <c r="G90" s="10" t="s">
        <v>54</v>
      </c>
      <c r="H90" s="11">
        <v>-1350</v>
      </c>
      <c r="I90" s="11">
        <v>-750</v>
      </c>
      <c r="J90" s="10" t="s">
        <v>195</v>
      </c>
      <c r="K90" s="10" t="s">
        <v>57</v>
      </c>
      <c r="L90" s="12" t="s">
        <v>206</v>
      </c>
      <c r="M90" s="10" t="s">
        <v>73</v>
      </c>
      <c r="N90" s="10"/>
      <c r="O90" s="10" t="s">
        <v>60</v>
      </c>
      <c r="P90" s="10" t="s">
        <v>61</v>
      </c>
      <c r="Q90" s="12"/>
      <c r="R90" s="10"/>
      <c r="S90" s="12">
        <v>16</v>
      </c>
      <c r="T90" s="10"/>
      <c r="U90" s="10"/>
      <c r="V90" s="10">
        <v>0</v>
      </c>
      <c r="W90" s="22">
        <v>1</v>
      </c>
      <c r="X90" s="10">
        <v>0</v>
      </c>
      <c r="Y90" s="10"/>
      <c r="Z90" s="10"/>
      <c r="AA90" s="10">
        <v>0</v>
      </c>
      <c r="AB90" s="10">
        <v>0</v>
      </c>
      <c r="AC90" s="10">
        <v>0</v>
      </c>
      <c r="AD90" s="10"/>
      <c r="AE90" s="14">
        <v>0</v>
      </c>
      <c r="AF90" s="10"/>
      <c r="AG90" s="10">
        <v>0</v>
      </c>
      <c r="AH90" s="10"/>
      <c r="AI90" s="10"/>
      <c r="AJ90" s="10">
        <v>0</v>
      </c>
      <c r="AK90" s="14">
        <v>0</v>
      </c>
      <c r="AL90" s="10">
        <v>0</v>
      </c>
      <c r="AM90" s="14">
        <v>0</v>
      </c>
      <c r="AN90" s="10"/>
      <c r="AO90" s="10">
        <v>0</v>
      </c>
      <c r="AP90" s="10"/>
      <c r="AQ90" s="10"/>
      <c r="AR90" s="10">
        <v>0</v>
      </c>
      <c r="AS90" s="14">
        <v>0</v>
      </c>
      <c r="AT90" s="10">
        <v>0</v>
      </c>
      <c r="AU90" s="14">
        <v>0</v>
      </c>
      <c r="AV90" s="10"/>
      <c r="AW90"/>
      <c r="AY90" s="16" t="s">
        <v>63</v>
      </c>
    </row>
    <row r="91" spans="1:51" s="15" customFormat="1" x14ac:dyDescent="0.3">
      <c r="A91" s="7" t="s">
        <v>107</v>
      </c>
      <c r="B91" s="7" t="s">
        <v>106</v>
      </c>
      <c r="C91" s="8">
        <v>45.781780589999997</v>
      </c>
      <c r="D91" s="8">
        <v>4.8081832779999996</v>
      </c>
      <c r="E91" s="9">
        <v>202</v>
      </c>
      <c r="F91" t="s">
        <v>53</v>
      </c>
      <c r="G91" s="10" t="s">
        <v>54</v>
      </c>
      <c r="H91" s="11">
        <v>-1450</v>
      </c>
      <c r="I91" s="11">
        <v>-1300</v>
      </c>
      <c r="J91" s="10" t="s">
        <v>195</v>
      </c>
      <c r="K91" s="10" t="s">
        <v>57</v>
      </c>
      <c r="L91" s="12" t="s">
        <v>245</v>
      </c>
      <c r="M91" s="10" t="s">
        <v>73</v>
      </c>
      <c r="N91" s="10"/>
      <c r="O91" s="10" t="s">
        <v>60</v>
      </c>
      <c r="P91" s="10" t="s">
        <v>61</v>
      </c>
      <c r="Q91" s="12"/>
      <c r="R91" s="10"/>
      <c r="S91" s="12">
        <v>4896</v>
      </c>
      <c r="T91" s="10"/>
      <c r="U91" s="10"/>
      <c r="V91" s="10">
        <v>5077</v>
      </c>
      <c r="W91" s="13">
        <v>31</v>
      </c>
      <c r="X91" s="10">
        <v>0</v>
      </c>
      <c r="Y91" s="10"/>
      <c r="Z91" s="10"/>
      <c r="AA91" s="10">
        <v>0</v>
      </c>
      <c r="AB91" s="10">
        <v>0</v>
      </c>
      <c r="AC91" s="10">
        <v>0</v>
      </c>
      <c r="AD91" s="10"/>
      <c r="AE91" s="14">
        <v>0</v>
      </c>
      <c r="AF91" s="10"/>
      <c r="AG91" s="10">
        <v>1</v>
      </c>
      <c r="AH91" s="10"/>
      <c r="AI91" s="10"/>
      <c r="AJ91" s="10">
        <v>1</v>
      </c>
      <c r="AK91" s="14">
        <v>0</v>
      </c>
      <c r="AL91" s="10">
        <v>1</v>
      </c>
      <c r="AM91" s="14">
        <v>0</v>
      </c>
      <c r="AN91" s="10" t="s">
        <v>62</v>
      </c>
      <c r="AO91" s="10">
        <v>0</v>
      </c>
      <c r="AP91" s="10"/>
      <c r="AQ91" s="10"/>
      <c r="AR91" s="10">
        <v>0</v>
      </c>
      <c r="AS91" s="14">
        <v>0</v>
      </c>
      <c r="AT91" s="10">
        <v>0</v>
      </c>
      <c r="AU91" s="14">
        <v>0</v>
      </c>
      <c r="AV91" s="10"/>
      <c r="AW91"/>
      <c r="AY91" s="16" t="s">
        <v>68</v>
      </c>
    </row>
    <row r="92" spans="1:51" x14ac:dyDescent="0.3">
      <c r="A92" s="7" t="s">
        <v>246</v>
      </c>
      <c r="B92" s="7" t="s">
        <v>247</v>
      </c>
      <c r="C92" s="8">
        <v>43.429298109999998</v>
      </c>
      <c r="D92" s="8">
        <v>3.5777457300000002</v>
      </c>
      <c r="E92" s="9">
        <v>1</v>
      </c>
      <c r="F92" t="s">
        <v>53</v>
      </c>
      <c r="G92" s="10" t="s">
        <v>54</v>
      </c>
      <c r="H92" s="11">
        <v>-1200</v>
      </c>
      <c r="I92" s="11">
        <v>-900</v>
      </c>
      <c r="J92" s="10" t="s">
        <v>195</v>
      </c>
      <c r="K92" s="10" t="s">
        <v>57</v>
      </c>
      <c r="L92" s="12" t="s">
        <v>223</v>
      </c>
      <c r="M92" s="10" t="s">
        <v>73</v>
      </c>
      <c r="O92" s="10" t="s">
        <v>60</v>
      </c>
      <c r="P92" s="10" t="s">
        <v>61</v>
      </c>
      <c r="Q92" s="12"/>
      <c r="S92" s="12">
        <v>0</v>
      </c>
      <c r="V92" s="10">
        <v>0</v>
      </c>
      <c r="W92" s="13">
        <v>2</v>
      </c>
      <c r="X92" s="10">
        <v>0</v>
      </c>
      <c r="AA92" s="10">
        <v>0</v>
      </c>
      <c r="AB92" s="10">
        <v>0</v>
      </c>
      <c r="AC92" s="10">
        <v>0</v>
      </c>
      <c r="AE92" s="14">
        <v>0</v>
      </c>
      <c r="AG92" s="10">
        <v>0</v>
      </c>
      <c r="AJ92" s="14">
        <v>0</v>
      </c>
      <c r="AK92" s="14">
        <v>0</v>
      </c>
      <c r="AL92" s="10">
        <v>0</v>
      </c>
      <c r="AM92" s="14">
        <v>0</v>
      </c>
      <c r="AO92" s="10">
        <v>0</v>
      </c>
      <c r="AR92" s="10">
        <v>0</v>
      </c>
      <c r="AS92" s="14">
        <v>0</v>
      </c>
      <c r="AT92" s="10">
        <v>0</v>
      </c>
      <c r="AU92" s="14">
        <v>0</v>
      </c>
      <c r="AY92" s="16" t="s">
        <v>68</v>
      </c>
    </row>
    <row r="93" spans="1:51" s="15" customFormat="1" x14ac:dyDescent="0.3">
      <c r="A93" s="7" t="s">
        <v>248</v>
      </c>
      <c r="B93" s="7" t="s">
        <v>249</v>
      </c>
      <c r="C93" s="8">
        <v>45.799449019999997</v>
      </c>
      <c r="D93" s="8">
        <v>5.4642860889999998</v>
      </c>
      <c r="E93" s="9">
        <v>379</v>
      </c>
      <c r="F93" t="s">
        <v>53</v>
      </c>
      <c r="G93" s="10" t="s">
        <v>54</v>
      </c>
      <c r="H93" s="11">
        <v>-900</v>
      </c>
      <c r="I93" s="11">
        <v>-750</v>
      </c>
      <c r="J93" s="10" t="s">
        <v>195</v>
      </c>
      <c r="K93" s="10" t="s">
        <v>57</v>
      </c>
      <c r="L93" s="12" t="s">
        <v>196</v>
      </c>
      <c r="M93" s="10" t="s">
        <v>77</v>
      </c>
      <c r="N93" s="10"/>
      <c r="O93" s="10" t="s">
        <v>60</v>
      </c>
      <c r="P93" s="10" t="s">
        <v>61</v>
      </c>
      <c r="Q93" s="17"/>
      <c r="R93" s="10"/>
      <c r="S93" s="12">
        <v>10</v>
      </c>
      <c r="T93" s="10"/>
      <c r="U93" s="10"/>
      <c r="V93" s="10">
        <v>1</v>
      </c>
      <c r="W93" s="13">
        <v>4</v>
      </c>
      <c r="X93" s="10">
        <v>0</v>
      </c>
      <c r="Y93" s="10"/>
      <c r="Z93" s="10"/>
      <c r="AA93" s="10">
        <v>0</v>
      </c>
      <c r="AB93" s="10">
        <v>0</v>
      </c>
      <c r="AC93" s="10">
        <v>0</v>
      </c>
      <c r="AD93" s="10"/>
      <c r="AE93" s="14">
        <v>0</v>
      </c>
      <c r="AF93" s="10"/>
      <c r="AG93" s="14">
        <v>0</v>
      </c>
      <c r="AH93" s="10"/>
      <c r="AI93" s="10"/>
      <c r="AJ93" s="14">
        <v>0</v>
      </c>
      <c r="AK93" s="14">
        <v>0</v>
      </c>
      <c r="AL93" s="14">
        <v>0</v>
      </c>
      <c r="AM93" s="14">
        <v>0</v>
      </c>
      <c r="AN93" s="10"/>
      <c r="AO93" s="14">
        <v>0</v>
      </c>
      <c r="AP93" s="10"/>
      <c r="AQ93" s="10"/>
      <c r="AR93" s="10">
        <v>0</v>
      </c>
      <c r="AS93" s="14">
        <v>0</v>
      </c>
      <c r="AT93" s="14">
        <v>0</v>
      </c>
      <c r="AU93" s="14">
        <v>0</v>
      </c>
      <c r="AV93" s="10"/>
      <c r="AW93"/>
      <c r="AY93" s="16" t="s">
        <v>78</v>
      </c>
    </row>
    <row r="94" spans="1:51" x14ac:dyDescent="0.3">
      <c r="A94" s="7" t="s">
        <v>250</v>
      </c>
      <c r="B94" s="7" t="s">
        <v>251</v>
      </c>
      <c r="C94" s="8">
        <v>44.269446189999996</v>
      </c>
      <c r="D94" s="8">
        <v>4.4182300550000004</v>
      </c>
      <c r="E94" s="9">
        <v>178</v>
      </c>
      <c r="F94" t="s">
        <v>53</v>
      </c>
      <c r="G94" s="10" t="s">
        <v>54</v>
      </c>
      <c r="H94" s="11">
        <v>-1300</v>
      </c>
      <c r="I94" s="11">
        <v>-1200</v>
      </c>
      <c r="J94" s="10" t="s">
        <v>195</v>
      </c>
      <c r="K94" s="10" t="s">
        <v>57</v>
      </c>
      <c r="L94" s="12" t="s">
        <v>174</v>
      </c>
      <c r="M94" s="10" t="s">
        <v>67</v>
      </c>
      <c r="N94" s="10" t="s">
        <v>119</v>
      </c>
      <c r="O94" s="10" t="s">
        <v>60</v>
      </c>
      <c r="P94" s="10" t="s">
        <v>60</v>
      </c>
      <c r="Q94" s="12"/>
      <c r="S94" s="12">
        <v>7</v>
      </c>
      <c r="V94" s="10">
        <v>0</v>
      </c>
      <c r="W94" s="13">
        <v>1</v>
      </c>
      <c r="X94" s="10">
        <v>0</v>
      </c>
      <c r="AA94" s="10">
        <v>0</v>
      </c>
      <c r="AB94" s="10">
        <v>0</v>
      </c>
      <c r="AC94" s="10">
        <v>0</v>
      </c>
      <c r="AE94" s="14">
        <v>0</v>
      </c>
      <c r="AG94" s="10">
        <v>0</v>
      </c>
      <c r="AJ94" s="14">
        <v>0</v>
      </c>
      <c r="AK94" s="14">
        <v>0</v>
      </c>
      <c r="AL94" s="10">
        <v>0</v>
      </c>
      <c r="AM94" s="14">
        <v>0</v>
      </c>
      <c r="AO94" s="10">
        <v>0</v>
      </c>
      <c r="AR94" s="10">
        <v>0</v>
      </c>
      <c r="AS94" s="14">
        <v>0</v>
      </c>
      <c r="AT94" s="10">
        <v>0</v>
      </c>
      <c r="AU94" s="14">
        <v>0</v>
      </c>
      <c r="AW94" t="s">
        <v>252</v>
      </c>
      <c r="AY94" s="16" t="s">
        <v>178</v>
      </c>
    </row>
    <row r="95" spans="1:51" x14ac:dyDescent="0.3">
      <c r="A95" s="7" t="s">
        <v>253</v>
      </c>
      <c r="B95" s="7" t="s">
        <v>173</v>
      </c>
      <c r="C95" s="8">
        <v>44.554084570000001</v>
      </c>
      <c r="D95" s="8">
        <v>4.7486938780000001</v>
      </c>
      <c r="E95" s="9">
        <v>93</v>
      </c>
      <c r="F95" t="s">
        <v>53</v>
      </c>
      <c r="G95" s="10" t="s">
        <v>54</v>
      </c>
      <c r="H95" s="11">
        <v>-1350</v>
      </c>
      <c r="I95" s="11">
        <v>-1200</v>
      </c>
      <c r="J95" s="10" t="s">
        <v>195</v>
      </c>
      <c r="K95" s="10" t="s">
        <v>57</v>
      </c>
      <c r="L95" s="12" t="s">
        <v>245</v>
      </c>
      <c r="M95" s="10" t="s">
        <v>59</v>
      </c>
      <c r="O95" s="10" t="s">
        <v>60</v>
      </c>
      <c r="P95" s="10" t="s">
        <v>61</v>
      </c>
      <c r="Q95" s="12"/>
      <c r="S95" s="12">
        <v>62</v>
      </c>
      <c r="V95" s="10">
        <v>0</v>
      </c>
      <c r="W95" s="13">
        <v>7</v>
      </c>
      <c r="X95" s="10">
        <v>0</v>
      </c>
      <c r="AA95" s="10">
        <v>0</v>
      </c>
      <c r="AB95" s="10">
        <v>0</v>
      </c>
      <c r="AC95" s="10">
        <v>0</v>
      </c>
      <c r="AE95" s="14">
        <v>0</v>
      </c>
      <c r="AG95" s="10">
        <v>0</v>
      </c>
      <c r="AJ95" s="14">
        <v>0</v>
      </c>
      <c r="AK95" s="14">
        <v>0</v>
      </c>
      <c r="AL95" s="10">
        <v>0</v>
      </c>
      <c r="AM95" s="14">
        <v>0</v>
      </c>
      <c r="AO95" s="14">
        <v>0</v>
      </c>
      <c r="AR95" s="10">
        <v>0</v>
      </c>
      <c r="AS95" s="14">
        <v>0</v>
      </c>
      <c r="AT95" s="14">
        <v>0</v>
      </c>
      <c r="AU95" s="14">
        <v>0</v>
      </c>
      <c r="AY95" s="16" t="s">
        <v>63</v>
      </c>
    </row>
    <row r="96" spans="1:51" x14ac:dyDescent="0.3">
      <c r="A96" s="7" t="s">
        <v>254</v>
      </c>
      <c r="B96" s="7" t="s">
        <v>255</v>
      </c>
      <c r="C96" s="8">
        <v>43.537496619999999</v>
      </c>
      <c r="D96" s="8">
        <v>3.2579637099999998</v>
      </c>
      <c r="E96" s="9">
        <v>225</v>
      </c>
      <c r="F96" t="s">
        <v>53</v>
      </c>
      <c r="G96" s="10" t="s">
        <v>54</v>
      </c>
      <c r="H96" s="11">
        <v>-900</v>
      </c>
      <c r="I96" s="11">
        <v>-800</v>
      </c>
      <c r="J96" s="10" t="s">
        <v>195</v>
      </c>
      <c r="K96" s="10" t="s">
        <v>57</v>
      </c>
      <c r="L96" s="12" t="s">
        <v>196</v>
      </c>
      <c r="M96" s="10" t="s">
        <v>73</v>
      </c>
      <c r="O96" s="10" t="s">
        <v>60</v>
      </c>
      <c r="P96" s="10" t="s">
        <v>61</v>
      </c>
      <c r="Q96" s="12"/>
      <c r="S96" s="12">
        <v>49</v>
      </c>
      <c r="V96" s="10">
        <v>0</v>
      </c>
      <c r="W96" s="13">
        <v>2</v>
      </c>
      <c r="X96" s="10">
        <v>0</v>
      </c>
      <c r="AA96" s="10">
        <v>0</v>
      </c>
      <c r="AB96" s="10">
        <v>0</v>
      </c>
      <c r="AC96" s="10">
        <v>0</v>
      </c>
      <c r="AE96" s="14">
        <v>0</v>
      </c>
      <c r="AG96" s="10">
        <v>0</v>
      </c>
      <c r="AJ96" s="14">
        <v>0</v>
      </c>
      <c r="AK96" s="14">
        <v>0</v>
      </c>
      <c r="AL96" s="10">
        <v>0</v>
      </c>
      <c r="AM96" s="14">
        <v>0</v>
      </c>
      <c r="AO96" s="10">
        <v>0</v>
      </c>
      <c r="AR96" s="10">
        <v>0</v>
      </c>
      <c r="AS96" s="14">
        <v>0</v>
      </c>
      <c r="AT96" s="10">
        <v>0</v>
      </c>
      <c r="AU96" s="14">
        <v>0</v>
      </c>
      <c r="AY96" s="16" t="s">
        <v>256</v>
      </c>
    </row>
    <row r="97" spans="1:51" x14ac:dyDescent="0.3">
      <c r="A97" s="7" t="s">
        <v>257</v>
      </c>
      <c r="B97" s="7" t="s">
        <v>258</v>
      </c>
      <c r="C97" s="8">
        <v>44.083378680000003</v>
      </c>
      <c r="D97" s="8">
        <v>1.722225699</v>
      </c>
      <c r="E97" s="9">
        <v>270</v>
      </c>
      <c r="F97" t="s">
        <v>53</v>
      </c>
      <c r="G97" s="10" t="s">
        <v>54</v>
      </c>
      <c r="H97" s="11">
        <v>-1050</v>
      </c>
      <c r="I97" s="11">
        <v>-900</v>
      </c>
      <c r="J97" s="10" t="s">
        <v>195</v>
      </c>
      <c r="K97" s="10" t="s">
        <v>57</v>
      </c>
      <c r="L97" s="12" t="s">
        <v>197</v>
      </c>
      <c r="M97" s="10" t="s">
        <v>67</v>
      </c>
      <c r="O97" s="10" t="s">
        <v>60</v>
      </c>
      <c r="P97" s="10" t="s">
        <v>60</v>
      </c>
      <c r="Q97" s="12"/>
      <c r="S97" s="12">
        <v>13</v>
      </c>
      <c r="V97" s="10">
        <v>0</v>
      </c>
      <c r="W97" s="13">
        <v>1</v>
      </c>
      <c r="X97" s="10">
        <v>0</v>
      </c>
      <c r="AA97" s="10">
        <v>0</v>
      </c>
      <c r="AB97" s="10">
        <v>0</v>
      </c>
      <c r="AC97" s="10">
        <v>0</v>
      </c>
      <c r="AE97" s="14">
        <v>0</v>
      </c>
      <c r="AG97" s="10">
        <v>1</v>
      </c>
      <c r="AJ97" s="10">
        <v>5</v>
      </c>
      <c r="AK97" s="14">
        <v>0</v>
      </c>
      <c r="AL97" s="10">
        <v>1</v>
      </c>
      <c r="AM97" s="14">
        <v>0</v>
      </c>
      <c r="AN97" s="10" t="s">
        <v>62</v>
      </c>
      <c r="AO97" s="10">
        <v>0</v>
      </c>
      <c r="AR97" s="10">
        <v>0</v>
      </c>
      <c r="AS97" s="14">
        <v>0</v>
      </c>
      <c r="AT97" s="10">
        <v>0</v>
      </c>
      <c r="AU97" s="14">
        <v>0</v>
      </c>
      <c r="AY97" s="16" t="s">
        <v>78</v>
      </c>
    </row>
    <row r="98" spans="1:51" x14ac:dyDescent="0.3">
      <c r="A98" s="7" t="s">
        <v>257</v>
      </c>
      <c r="B98" s="7" t="s">
        <v>258</v>
      </c>
      <c r="C98" s="8">
        <v>44.083378680000003</v>
      </c>
      <c r="D98" s="8">
        <v>1.722225699</v>
      </c>
      <c r="E98" s="9">
        <v>270</v>
      </c>
      <c r="F98" t="s">
        <v>53</v>
      </c>
      <c r="G98" s="10" t="s">
        <v>54</v>
      </c>
      <c r="H98" s="11">
        <v>-900</v>
      </c>
      <c r="I98" s="11">
        <v>-750</v>
      </c>
      <c r="J98" s="10" t="s">
        <v>195</v>
      </c>
      <c r="K98" s="10" t="s">
        <v>57</v>
      </c>
      <c r="L98" s="12" t="s">
        <v>196</v>
      </c>
      <c r="M98" s="10" t="s">
        <v>67</v>
      </c>
      <c r="O98" s="10" t="s">
        <v>60</v>
      </c>
      <c r="P98" s="10" t="s">
        <v>60</v>
      </c>
      <c r="Q98" s="12"/>
      <c r="S98" s="12">
        <v>333</v>
      </c>
      <c r="V98" s="10">
        <v>16</v>
      </c>
      <c r="W98" s="13">
        <v>10</v>
      </c>
      <c r="X98" s="10">
        <v>0</v>
      </c>
      <c r="AA98" s="10">
        <v>0</v>
      </c>
      <c r="AB98" s="10">
        <v>0</v>
      </c>
      <c r="AC98" s="10">
        <v>0</v>
      </c>
      <c r="AE98" s="14">
        <v>0</v>
      </c>
      <c r="AG98" s="10">
        <v>0</v>
      </c>
      <c r="AJ98" s="10">
        <v>0</v>
      </c>
      <c r="AK98" s="14">
        <v>0</v>
      </c>
      <c r="AL98" s="10">
        <v>0</v>
      </c>
      <c r="AM98" s="14">
        <v>0</v>
      </c>
      <c r="AO98" s="10">
        <v>0</v>
      </c>
      <c r="AR98" s="10">
        <v>0</v>
      </c>
      <c r="AS98" s="14">
        <v>0</v>
      </c>
      <c r="AT98" s="10">
        <v>0</v>
      </c>
      <c r="AU98" s="14">
        <v>0</v>
      </c>
      <c r="AY98" s="16" t="s">
        <v>78</v>
      </c>
    </row>
    <row r="99" spans="1:51" x14ac:dyDescent="0.3">
      <c r="A99" s="7" t="s">
        <v>259</v>
      </c>
      <c r="B99" s="7" t="s">
        <v>260</v>
      </c>
      <c r="C99" s="8">
        <v>43.582452490000001</v>
      </c>
      <c r="D99" s="8">
        <v>2.0168580039999999</v>
      </c>
      <c r="E99" s="9">
        <v>248</v>
      </c>
      <c r="F99" t="s">
        <v>53</v>
      </c>
      <c r="G99" s="10" t="s">
        <v>54</v>
      </c>
      <c r="H99" s="11">
        <v>-900</v>
      </c>
      <c r="I99" s="11">
        <v>-750</v>
      </c>
      <c r="J99" s="10" t="s">
        <v>195</v>
      </c>
      <c r="K99" s="10" t="s">
        <v>57</v>
      </c>
      <c r="L99" s="12" t="s">
        <v>196</v>
      </c>
      <c r="M99" s="10" t="s">
        <v>73</v>
      </c>
      <c r="O99" s="10" t="s">
        <v>60</v>
      </c>
      <c r="P99" s="10" t="s">
        <v>61</v>
      </c>
      <c r="Q99" s="12"/>
      <c r="S99" s="12">
        <v>2</v>
      </c>
      <c r="V99" s="10">
        <v>0</v>
      </c>
      <c r="W99" s="13">
        <v>5</v>
      </c>
      <c r="X99" s="10">
        <v>0</v>
      </c>
      <c r="AA99" s="10">
        <v>0</v>
      </c>
      <c r="AB99" s="10">
        <v>0</v>
      </c>
      <c r="AC99" s="10">
        <v>0</v>
      </c>
      <c r="AE99" s="14">
        <v>0</v>
      </c>
      <c r="AG99" s="10">
        <v>0</v>
      </c>
      <c r="AJ99" s="10">
        <v>0</v>
      </c>
      <c r="AK99" s="14">
        <v>0</v>
      </c>
      <c r="AL99" s="10">
        <v>0</v>
      </c>
      <c r="AM99" s="14">
        <v>0</v>
      </c>
      <c r="AO99" s="10">
        <v>0</v>
      </c>
      <c r="AR99" s="10">
        <v>0</v>
      </c>
      <c r="AS99" s="14">
        <v>0</v>
      </c>
      <c r="AT99" s="10">
        <v>0</v>
      </c>
      <c r="AU99" s="14">
        <v>0</v>
      </c>
      <c r="AY99" s="16" t="s">
        <v>93</v>
      </c>
    </row>
    <row r="100" spans="1:51" x14ac:dyDescent="0.3">
      <c r="A100" s="7" t="s">
        <v>183</v>
      </c>
      <c r="B100" s="7" t="s">
        <v>184</v>
      </c>
      <c r="C100" s="8">
        <v>45.913619830000002</v>
      </c>
      <c r="D100" s="8">
        <v>4.7737512329999996</v>
      </c>
      <c r="E100" s="9">
        <v>176</v>
      </c>
      <c r="F100" t="s">
        <v>53</v>
      </c>
      <c r="G100" s="10" t="s">
        <v>54</v>
      </c>
      <c r="H100" s="11">
        <v>-1200</v>
      </c>
      <c r="I100" s="11">
        <v>-900</v>
      </c>
      <c r="J100" s="10" t="s">
        <v>195</v>
      </c>
      <c r="K100" s="10" t="s">
        <v>57</v>
      </c>
      <c r="L100" s="12" t="s">
        <v>223</v>
      </c>
      <c r="M100" s="10" t="s">
        <v>73</v>
      </c>
      <c r="O100" s="10" t="s">
        <v>60</v>
      </c>
      <c r="P100" s="10" t="s">
        <v>61</v>
      </c>
      <c r="Q100" s="12"/>
      <c r="S100" s="10">
        <v>99</v>
      </c>
      <c r="V100" s="10">
        <v>43</v>
      </c>
      <c r="W100" s="13">
        <v>16</v>
      </c>
      <c r="X100" s="10">
        <v>1</v>
      </c>
      <c r="AA100" s="10">
        <v>3</v>
      </c>
      <c r="AB100" s="10">
        <v>0</v>
      </c>
      <c r="AC100" s="10">
        <v>1</v>
      </c>
      <c r="AE100" s="14">
        <v>0</v>
      </c>
      <c r="AG100" s="10">
        <v>0</v>
      </c>
      <c r="AJ100" s="10">
        <v>0</v>
      </c>
      <c r="AK100" s="14">
        <v>0</v>
      </c>
      <c r="AL100" s="10">
        <v>0</v>
      </c>
      <c r="AM100" s="14">
        <v>0</v>
      </c>
      <c r="AO100" s="10">
        <v>0</v>
      </c>
      <c r="AR100" s="10">
        <v>0</v>
      </c>
      <c r="AS100" s="14">
        <v>0</v>
      </c>
      <c r="AT100" s="10">
        <v>0</v>
      </c>
      <c r="AU100" s="14">
        <v>0</v>
      </c>
      <c r="AY100" s="16" t="s">
        <v>63</v>
      </c>
    </row>
    <row r="101" spans="1:51" s="15" customFormat="1" x14ac:dyDescent="0.3">
      <c r="A101" s="7" t="s">
        <v>183</v>
      </c>
      <c r="B101" s="7" t="s">
        <v>184</v>
      </c>
      <c r="C101" s="8">
        <v>45.913619830000002</v>
      </c>
      <c r="D101" s="8">
        <v>4.7737512329999996</v>
      </c>
      <c r="E101" s="9">
        <v>176</v>
      </c>
      <c r="F101" t="s">
        <v>53</v>
      </c>
      <c r="G101" s="10" t="s">
        <v>54</v>
      </c>
      <c r="H101" s="11">
        <v>-1200</v>
      </c>
      <c r="I101" s="11">
        <v>-900</v>
      </c>
      <c r="J101" s="10" t="s">
        <v>195</v>
      </c>
      <c r="K101" s="10" t="s">
        <v>57</v>
      </c>
      <c r="L101" s="12" t="s">
        <v>223</v>
      </c>
      <c r="M101" s="10" t="s">
        <v>92</v>
      </c>
      <c r="N101" s="10"/>
      <c r="O101" s="10" t="s">
        <v>60</v>
      </c>
      <c r="P101" s="10" t="s">
        <v>61</v>
      </c>
      <c r="Q101" s="12"/>
      <c r="R101" s="10"/>
      <c r="S101" s="10">
        <v>1</v>
      </c>
      <c r="T101" s="10"/>
      <c r="U101" s="10"/>
      <c r="V101" s="10">
        <v>4</v>
      </c>
      <c r="W101" s="13">
        <v>7</v>
      </c>
      <c r="X101" s="10">
        <v>0</v>
      </c>
      <c r="Y101" s="10"/>
      <c r="Z101" s="10"/>
      <c r="AA101" s="10">
        <v>0</v>
      </c>
      <c r="AB101" s="10">
        <v>0</v>
      </c>
      <c r="AC101" s="10">
        <v>0</v>
      </c>
      <c r="AD101" s="10"/>
      <c r="AE101" s="14">
        <v>0</v>
      </c>
      <c r="AF101" s="10"/>
      <c r="AG101" s="10">
        <v>0</v>
      </c>
      <c r="AH101" s="10"/>
      <c r="AI101" s="10"/>
      <c r="AJ101" s="10">
        <v>0</v>
      </c>
      <c r="AK101" s="14">
        <v>0</v>
      </c>
      <c r="AL101" s="10">
        <v>0</v>
      </c>
      <c r="AM101" s="14">
        <v>0</v>
      </c>
      <c r="AN101" s="10"/>
      <c r="AO101" s="10">
        <v>0</v>
      </c>
      <c r="AP101" s="10"/>
      <c r="AQ101" s="10"/>
      <c r="AR101" s="10">
        <v>0</v>
      </c>
      <c r="AS101" s="14">
        <v>0</v>
      </c>
      <c r="AT101" s="10">
        <v>0</v>
      </c>
      <c r="AU101" s="14">
        <v>0</v>
      </c>
      <c r="AV101" s="10"/>
      <c r="AW101"/>
      <c r="AY101" s="16" t="s">
        <v>63</v>
      </c>
    </row>
    <row r="102" spans="1:51" x14ac:dyDescent="0.3">
      <c r="A102" s="20" t="s">
        <v>261</v>
      </c>
      <c r="B102" s="7" t="s">
        <v>262</v>
      </c>
      <c r="C102" s="8">
        <v>45.894266780000002</v>
      </c>
      <c r="D102" s="8">
        <v>3.1324646970000001</v>
      </c>
      <c r="E102" s="9">
        <v>335</v>
      </c>
      <c r="F102" t="s">
        <v>53</v>
      </c>
      <c r="G102" s="10" t="s">
        <v>54</v>
      </c>
      <c r="H102" s="11">
        <v>-1350</v>
      </c>
      <c r="I102" s="11">
        <v>-1150</v>
      </c>
      <c r="J102" s="10" t="s">
        <v>195</v>
      </c>
      <c r="K102" s="10" t="s">
        <v>57</v>
      </c>
      <c r="L102" s="12" t="s">
        <v>245</v>
      </c>
      <c r="M102" s="10" t="s">
        <v>73</v>
      </c>
      <c r="O102" s="10" t="s">
        <v>60</v>
      </c>
      <c r="P102" s="10" t="s">
        <v>61</v>
      </c>
      <c r="Q102" s="12"/>
      <c r="S102" s="12">
        <v>2</v>
      </c>
      <c r="V102" s="10">
        <v>0</v>
      </c>
      <c r="W102" s="13">
        <v>2</v>
      </c>
      <c r="X102" s="10">
        <v>0</v>
      </c>
      <c r="AA102" s="10">
        <v>0</v>
      </c>
      <c r="AB102" s="10">
        <v>0</v>
      </c>
      <c r="AC102" s="10">
        <v>0</v>
      </c>
      <c r="AE102" s="14">
        <v>0</v>
      </c>
      <c r="AG102" s="10">
        <v>0</v>
      </c>
      <c r="AJ102" s="14">
        <v>0</v>
      </c>
      <c r="AK102" s="14">
        <v>0</v>
      </c>
      <c r="AL102" s="10">
        <v>0</v>
      </c>
      <c r="AM102" s="14">
        <v>0</v>
      </c>
      <c r="AO102" s="10">
        <v>0</v>
      </c>
      <c r="AR102" s="10">
        <v>0</v>
      </c>
      <c r="AS102" s="14">
        <v>0</v>
      </c>
      <c r="AT102" s="10">
        <v>0</v>
      </c>
      <c r="AU102" s="14">
        <v>0</v>
      </c>
      <c r="AY102" s="16" t="s">
        <v>63</v>
      </c>
    </row>
    <row r="103" spans="1:51" x14ac:dyDescent="0.3">
      <c r="A103" s="20" t="s">
        <v>261</v>
      </c>
      <c r="B103" s="7" t="s">
        <v>262</v>
      </c>
      <c r="C103" s="8">
        <v>45.894266780000002</v>
      </c>
      <c r="D103" s="8">
        <v>3.1324646970000001</v>
      </c>
      <c r="E103" s="9">
        <v>335</v>
      </c>
      <c r="F103" t="s">
        <v>53</v>
      </c>
      <c r="G103" s="10" t="s">
        <v>54</v>
      </c>
      <c r="H103" s="11">
        <v>-850</v>
      </c>
      <c r="I103" s="11">
        <v>-800</v>
      </c>
      <c r="J103" s="10" t="s">
        <v>195</v>
      </c>
      <c r="K103" s="10" t="s">
        <v>57</v>
      </c>
      <c r="L103" s="12" t="s">
        <v>196</v>
      </c>
      <c r="M103" s="10" t="s">
        <v>73</v>
      </c>
      <c r="O103" s="10" t="s">
        <v>60</v>
      </c>
      <c r="P103" s="10" t="s">
        <v>61</v>
      </c>
      <c r="Q103" s="12"/>
      <c r="S103" s="12">
        <v>283</v>
      </c>
      <c r="V103" s="10">
        <v>1</v>
      </c>
      <c r="W103" s="13">
        <v>4</v>
      </c>
      <c r="X103" s="10">
        <v>0</v>
      </c>
      <c r="AA103" s="10">
        <v>0</v>
      </c>
      <c r="AB103" s="10">
        <v>0</v>
      </c>
      <c r="AC103" s="10">
        <v>0</v>
      </c>
      <c r="AE103" s="14">
        <v>0</v>
      </c>
      <c r="AG103" s="10">
        <v>0</v>
      </c>
      <c r="AJ103" s="14">
        <v>0</v>
      </c>
      <c r="AK103" s="14">
        <v>0</v>
      </c>
      <c r="AL103" s="10">
        <v>0</v>
      </c>
      <c r="AM103" s="14">
        <v>0</v>
      </c>
      <c r="AO103" s="10">
        <v>0</v>
      </c>
      <c r="AR103" s="10">
        <v>0</v>
      </c>
      <c r="AS103" s="14">
        <v>0</v>
      </c>
      <c r="AT103" s="10">
        <v>0</v>
      </c>
      <c r="AU103" s="14">
        <v>0</v>
      </c>
      <c r="AY103" s="16" t="s">
        <v>63</v>
      </c>
    </row>
    <row r="104" spans="1:51" x14ac:dyDescent="0.3">
      <c r="A104" s="7" t="s">
        <v>185</v>
      </c>
      <c r="B104" s="7" t="s">
        <v>186</v>
      </c>
      <c r="C104" s="8">
        <v>43.664878180000002</v>
      </c>
      <c r="D104" s="8">
        <v>5.3521824699999998</v>
      </c>
      <c r="E104" s="9">
        <v>318</v>
      </c>
      <c r="F104" t="s">
        <v>53</v>
      </c>
      <c r="G104" s="10" t="s">
        <v>54</v>
      </c>
      <c r="H104" s="11">
        <v>-1350</v>
      </c>
      <c r="I104" s="11">
        <v>-1250</v>
      </c>
      <c r="J104" s="10" t="s">
        <v>195</v>
      </c>
      <c r="K104" s="10" t="s">
        <v>57</v>
      </c>
      <c r="L104" s="12" t="s">
        <v>245</v>
      </c>
      <c r="M104" s="10" t="s">
        <v>77</v>
      </c>
      <c r="O104" s="10" t="s">
        <v>60</v>
      </c>
      <c r="P104" s="10" t="s">
        <v>61</v>
      </c>
      <c r="Q104" s="12"/>
      <c r="S104" s="12">
        <v>0</v>
      </c>
      <c r="V104" s="10">
        <v>0</v>
      </c>
      <c r="W104" s="13">
        <v>1</v>
      </c>
      <c r="X104" s="10">
        <v>0</v>
      </c>
      <c r="AA104" s="10">
        <v>0</v>
      </c>
      <c r="AB104" s="10">
        <v>0</v>
      </c>
      <c r="AC104" s="10">
        <v>0</v>
      </c>
      <c r="AE104" s="14">
        <v>0</v>
      </c>
      <c r="AG104" s="10">
        <v>0</v>
      </c>
      <c r="AJ104" s="14">
        <v>0</v>
      </c>
      <c r="AK104" s="14">
        <v>0</v>
      </c>
      <c r="AL104" s="10">
        <v>0</v>
      </c>
      <c r="AM104" s="14">
        <v>0</v>
      </c>
      <c r="AO104" s="14">
        <v>0</v>
      </c>
      <c r="AR104" s="10">
        <v>0</v>
      </c>
      <c r="AS104" s="14">
        <v>0</v>
      </c>
      <c r="AT104" s="14">
        <v>0</v>
      </c>
      <c r="AU104" s="14">
        <v>0</v>
      </c>
      <c r="AY104" s="16" t="s">
        <v>187</v>
      </c>
    </row>
    <row r="105" spans="1:51" x14ac:dyDescent="0.3">
      <c r="A105" s="7" t="s">
        <v>117</v>
      </c>
      <c r="B105" s="7" t="s">
        <v>118</v>
      </c>
      <c r="C105" s="8">
        <v>43.484149619999997</v>
      </c>
      <c r="D105" s="8">
        <v>5.6238079939999999</v>
      </c>
      <c r="E105" s="9">
        <v>256</v>
      </c>
      <c r="F105" t="s">
        <v>53</v>
      </c>
      <c r="G105" s="10" t="s">
        <v>54</v>
      </c>
      <c r="H105" s="11">
        <v>-1350</v>
      </c>
      <c r="I105" s="11">
        <v>-750</v>
      </c>
      <c r="J105" s="10" t="s">
        <v>195</v>
      </c>
      <c r="K105" s="10" t="s">
        <v>57</v>
      </c>
      <c r="L105" s="12" t="s">
        <v>206</v>
      </c>
      <c r="M105" s="10" t="s">
        <v>119</v>
      </c>
      <c r="N105" s="10" t="s">
        <v>119</v>
      </c>
      <c r="O105" s="10" t="s">
        <v>60</v>
      </c>
      <c r="P105" s="10" t="s">
        <v>61</v>
      </c>
      <c r="Q105" s="17"/>
      <c r="S105" s="12">
        <v>46</v>
      </c>
      <c r="V105" s="10">
        <v>0</v>
      </c>
      <c r="W105" s="13">
        <v>4</v>
      </c>
      <c r="X105" s="10">
        <v>0</v>
      </c>
      <c r="AA105" s="10">
        <v>0</v>
      </c>
      <c r="AB105" s="10">
        <v>0</v>
      </c>
      <c r="AC105" s="10">
        <v>0</v>
      </c>
      <c r="AE105" s="14">
        <v>0</v>
      </c>
      <c r="AG105" s="10">
        <v>0</v>
      </c>
      <c r="AJ105" s="14">
        <v>0</v>
      </c>
      <c r="AK105" s="14">
        <v>0</v>
      </c>
      <c r="AL105" s="10">
        <v>0</v>
      </c>
      <c r="AM105" s="14">
        <v>0</v>
      </c>
      <c r="AO105" s="14">
        <v>0</v>
      </c>
      <c r="AR105" s="10">
        <v>0</v>
      </c>
      <c r="AS105" s="14">
        <v>0</v>
      </c>
      <c r="AT105" s="14">
        <v>0</v>
      </c>
      <c r="AU105" s="14">
        <v>0</v>
      </c>
      <c r="AW105" t="s">
        <v>120</v>
      </c>
      <c r="AY105" s="16" t="s">
        <v>85</v>
      </c>
    </row>
    <row r="106" spans="1:51" s="15" customFormat="1" x14ac:dyDescent="0.3">
      <c r="A106" s="7" t="s">
        <v>263</v>
      </c>
      <c r="B106" s="7" t="s">
        <v>264</v>
      </c>
      <c r="C106" s="8">
        <v>43.783696370000001</v>
      </c>
      <c r="D106" s="8">
        <v>3.3849993600000001</v>
      </c>
      <c r="E106" s="9">
        <v>550</v>
      </c>
      <c r="F106" t="s">
        <v>53</v>
      </c>
      <c r="G106" s="10" t="s">
        <v>54</v>
      </c>
      <c r="H106" s="11">
        <v>-1200</v>
      </c>
      <c r="I106" s="11">
        <v>-900</v>
      </c>
      <c r="J106" s="10" t="s">
        <v>195</v>
      </c>
      <c r="K106" s="10" t="s">
        <v>57</v>
      </c>
      <c r="L106" s="12" t="s">
        <v>223</v>
      </c>
      <c r="M106" s="10" t="s">
        <v>67</v>
      </c>
      <c r="N106" s="10"/>
      <c r="O106" s="10" t="s">
        <v>60</v>
      </c>
      <c r="P106" s="10" t="s">
        <v>60</v>
      </c>
      <c r="Q106" s="12"/>
      <c r="R106" s="10"/>
      <c r="S106" s="12">
        <v>18</v>
      </c>
      <c r="T106" s="10"/>
      <c r="U106" s="10"/>
      <c r="V106" s="10">
        <v>0</v>
      </c>
      <c r="W106" s="13">
        <v>1</v>
      </c>
      <c r="X106" s="10">
        <v>0</v>
      </c>
      <c r="Y106" s="10"/>
      <c r="Z106" s="10"/>
      <c r="AA106" s="10">
        <v>0</v>
      </c>
      <c r="AB106" s="10">
        <v>0</v>
      </c>
      <c r="AC106" s="10">
        <v>0</v>
      </c>
      <c r="AD106" s="10"/>
      <c r="AE106" s="14">
        <v>0</v>
      </c>
      <c r="AF106" s="10"/>
      <c r="AG106" s="10">
        <v>0</v>
      </c>
      <c r="AH106" s="10"/>
      <c r="AI106" s="10"/>
      <c r="AJ106" s="14">
        <v>0</v>
      </c>
      <c r="AK106" s="14">
        <v>0</v>
      </c>
      <c r="AL106" s="10">
        <v>0</v>
      </c>
      <c r="AM106" s="14">
        <v>0</v>
      </c>
      <c r="AN106" s="10"/>
      <c r="AO106" s="10">
        <v>0</v>
      </c>
      <c r="AP106" s="10"/>
      <c r="AQ106" s="10"/>
      <c r="AR106" s="10">
        <v>0</v>
      </c>
      <c r="AS106" s="14">
        <v>0</v>
      </c>
      <c r="AT106" s="10">
        <v>0</v>
      </c>
      <c r="AU106" s="14">
        <v>0</v>
      </c>
      <c r="AV106" s="10"/>
      <c r="AW106"/>
      <c r="AY106" s="16" t="s">
        <v>178</v>
      </c>
    </row>
    <row r="107" spans="1:51" x14ac:dyDescent="0.3">
      <c r="A107" s="7" t="s">
        <v>265</v>
      </c>
      <c r="B107" s="7" t="s">
        <v>266</v>
      </c>
      <c r="C107" s="8">
        <v>43.927183390000003</v>
      </c>
      <c r="D107" s="8">
        <v>4.5387249589999996</v>
      </c>
      <c r="E107" s="9">
        <v>91</v>
      </c>
      <c r="F107" t="s">
        <v>53</v>
      </c>
      <c r="G107" s="10" t="s">
        <v>54</v>
      </c>
      <c r="H107" s="11">
        <v>-900</v>
      </c>
      <c r="I107" s="11">
        <v>-750</v>
      </c>
      <c r="J107" s="10" t="s">
        <v>195</v>
      </c>
      <c r="K107" s="10" t="s">
        <v>57</v>
      </c>
      <c r="L107" s="12" t="s">
        <v>196</v>
      </c>
      <c r="M107" s="10" t="s">
        <v>73</v>
      </c>
      <c r="O107" s="10" t="s">
        <v>60</v>
      </c>
      <c r="P107" s="10" t="s">
        <v>61</v>
      </c>
      <c r="Q107" s="12"/>
      <c r="S107" s="12">
        <v>11</v>
      </c>
      <c r="V107" s="10">
        <v>5</v>
      </c>
      <c r="W107" s="13">
        <v>1</v>
      </c>
      <c r="X107" s="10">
        <v>0</v>
      </c>
      <c r="AA107" s="10">
        <v>0</v>
      </c>
      <c r="AB107" s="10">
        <v>0</v>
      </c>
      <c r="AC107" s="10">
        <v>0</v>
      </c>
      <c r="AE107" s="14">
        <v>0</v>
      </c>
      <c r="AG107" s="10">
        <v>0</v>
      </c>
      <c r="AJ107" s="14">
        <v>0</v>
      </c>
      <c r="AK107" s="14">
        <v>0</v>
      </c>
      <c r="AL107" s="10">
        <v>0</v>
      </c>
      <c r="AM107" s="14">
        <v>0</v>
      </c>
      <c r="AO107" s="10">
        <v>0</v>
      </c>
      <c r="AR107" s="10">
        <v>0</v>
      </c>
      <c r="AS107" s="14">
        <v>0</v>
      </c>
      <c r="AT107" s="10">
        <v>0</v>
      </c>
      <c r="AU107" s="14">
        <v>0</v>
      </c>
      <c r="AY107" s="16" t="s">
        <v>78</v>
      </c>
    </row>
    <row r="108" spans="1:51" x14ac:dyDescent="0.3">
      <c r="A108" s="7" t="s">
        <v>267</v>
      </c>
      <c r="B108" s="7" t="s">
        <v>268</v>
      </c>
      <c r="C108" s="8">
        <v>44.441805819999999</v>
      </c>
      <c r="D108" s="8">
        <v>5.2237793730000002</v>
      </c>
      <c r="E108" s="9">
        <v>643</v>
      </c>
      <c r="F108" t="s">
        <v>53</v>
      </c>
      <c r="G108" s="10" t="s">
        <v>54</v>
      </c>
      <c r="J108" s="10" t="s">
        <v>195</v>
      </c>
      <c r="K108" s="10" t="s">
        <v>57</v>
      </c>
      <c r="L108" s="12" t="s">
        <v>196</v>
      </c>
      <c r="M108" s="10" t="s">
        <v>73</v>
      </c>
      <c r="O108" s="10" t="s">
        <v>60</v>
      </c>
      <c r="P108" s="10" t="s">
        <v>60</v>
      </c>
      <c r="Q108" s="12"/>
      <c r="S108" s="12">
        <v>251</v>
      </c>
      <c r="V108" s="10">
        <v>1726</v>
      </c>
      <c r="W108" s="13">
        <v>10</v>
      </c>
      <c r="X108" s="10">
        <v>0</v>
      </c>
      <c r="AA108" s="10">
        <v>0</v>
      </c>
      <c r="AB108" s="10">
        <v>0</v>
      </c>
      <c r="AC108" s="10">
        <v>0</v>
      </c>
      <c r="AE108" s="14">
        <v>0</v>
      </c>
      <c r="AG108" s="10">
        <v>0</v>
      </c>
      <c r="AJ108" s="14">
        <v>0</v>
      </c>
      <c r="AK108" s="14">
        <v>0</v>
      </c>
      <c r="AL108" s="10">
        <v>0</v>
      </c>
      <c r="AM108" s="14">
        <v>0</v>
      </c>
      <c r="AO108" s="14">
        <v>0</v>
      </c>
      <c r="AR108" s="10">
        <v>0</v>
      </c>
      <c r="AS108" s="14">
        <v>0</v>
      </c>
      <c r="AT108" s="14">
        <v>0</v>
      </c>
      <c r="AU108" s="14">
        <v>0</v>
      </c>
      <c r="AY108" s="16" t="s">
        <v>269</v>
      </c>
    </row>
    <row r="109" spans="1:51" x14ac:dyDescent="0.3">
      <c r="A109" s="7" t="s">
        <v>270</v>
      </c>
      <c r="B109" s="7" t="s">
        <v>271</v>
      </c>
      <c r="C109" s="8">
        <v>44.329996540000003</v>
      </c>
      <c r="D109" s="8">
        <v>4.606564906</v>
      </c>
      <c r="E109" s="9">
        <v>141</v>
      </c>
      <c r="F109" t="s">
        <v>53</v>
      </c>
      <c r="G109" s="10" t="s">
        <v>54</v>
      </c>
      <c r="H109" s="11">
        <v>-1300</v>
      </c>
      <c r="I109" s="11">
        <v>-1000</v>
      </c>
      <c r="J109" s="10" t="s">
        <v>195</v>
      </c>
      <c r="K109" s="10" t="s">
        <v>57</v>
      </c>
      <c r="L109" s="12" t="s">
        <v>198</v>
      </c>
      <c r="M109" s="10" t="s">
        <v>67</v>
      </c>
      <c r="O109" s="10" t="s">
        <v>60</v>
      </c>
      <c r="P109" s="10" t="s">
        <v>60</v>
      </c>
      <c r="Q109" s="12"/>
      <c r="S109" s="12">
        <v>21</v>
      </c>
      <c r="V109" s="10">
        <v>0</v>
      </c>
      <c r="W109" s="13">
        <v>1</v>
      </c>
      <c r="X109" s="10">
        <v>0</v>
      </c>
      <c r="AA109" s="10">
        <v>0</v>
      </c>
      <c r="AB109" s="10">
        <v>0</v>
      </c>
      <c r="AC109" s="10">
        <v>0</v>
      </c>
      <c r="AE109" s="14">
        <v>0</v>
      </c>
      <c r="AG109" s="10">
        <v>0</v>
      </c>
      <c r="AJ109" s="14">
        <v>0</v>
      </c>
      <c r="AK109" s="14">
        <v>0</v>
      </c>
      <c r="AL109" s="10">
        <v>0</v>
      </c>
      <c r="AM109" s="14">
        <v>0</v>
      </c>
      <c r="AO109" s="14">
        <v>0</v>
      </c>
      <c r="AR109" s="10">
        <v>0</v>
      </c>
      <c r="AS109" s="14">
        <v>0</v>
      </c>
      <c r="AT109" s="14">
        <v>0</v>
      </c>
      <c r="AU109" s="14">
        <v>0</v>
      </c>
      <c r="AY109" s="16" t="s">
        <v>178</v>
      </c>
    </row>
    <row r="110" spans="1:51" x14ac:dyDescent="0.3">
      <c r="A110" s="7" t="s">
        <v>272</v>
      </c>
      <c r="B110" s="7" t="s">
        <v>273</v>
      </c>
      <c r="C110" s="8">
        <v>45.70146656</v>
      </c>
      <c r="D110" s="8">
        <v>4.9488207170000003</v>
      </c>
      <c r="E110" s="9">
        <v>215</v>
      </c>
      <c r="F110" t="s">
        <v>53</v>
      </c>
      <c r="G110" s="10" t="s">
        <v>54</v>
      </c>
      <c r="H110" s="11">
        <v>-1200</v>
      </c>
      <c r="I110" s="11">
        <v>-900</v>
      </c>
      <c r="J110" s="10" t="s">
        <v>195</v>
      </c>
      <c r="K110" s="10" t="s">
        <v>57</v>
      </c>
      <c r="L110" s="12" t="s">
        <v>223</v>
      </c>
      <c r="M110" s="10" t="s">
        <v>73</v>
      </c>
      <c r="O110" s="10" t="s">
        <v>60</v>
      </c>
      <c r="P110" s="10" t="s">
        <v>61</v>
      </c>
      <c r="Q110" s="12"/>
      <c r="S110" s="12">
        <v>62</v>
      </c>
      <c r="V110" s="10">
        <v>14</v>
      </c>
      <c r="W110" s="13">
        <v>6</v>
      </c>
      <c r="X110" s="10">
        <v>0</v>
      </c>
      <c r="AA110" s="10">
        <v>0</v>
      </c>
      <c r="AB110" s="10">
        <v>0</v>
      </c>
      <c r="AC110" s="10">
        <v>0</v>
      </c>
      <c r="AE110" s="14">
        <v>0</v>
      </c>
      <c r="AG110" s="10">
        <v>0</v>
      </c>
      <c r="AJ110" s="10">
        <v>0</v>
      </c>
      <c r="AK110" s="14">
        <v>0</v>
      </c>
      <c r="AL110" s="10">
        <v>0</v>
      </c>
      <c r="AM110" s="14">
        <v>0</v>
      </c>
      <c r="AO110" s="10">
        <v>0</v>
      </c>
      <c r="AR110" s="10">
        <v>0</v>
      </c>
      <c r="AS110" s="14">
        <v>0</v>
      </c>
      <c r="AT110" s="10">
        <v>0</v>
      </c>
      <c r="AU110" s="14">
        <v>0</v>
      </c>
      <c r="AY110" s="16" t="s">
        <v>68</v>
      </c>
    </row>
    <row r="111" spans="1:51" x14ac:dyDescent="0.3">
      <c r="A111" s="7" t="s">
        <v>274</v>
      </c>
      <c r="B111" s="7" t="s">
        <v>275</v>
      </c>
      <c r="C111" s="8">
        <v>44.072987599999998</v>
      </c>
      <c r="D111" s="8">
        <v>5.3988995659999999</v>
      </c>
      <c r="E111" s="9">
        <v>899</v>
      </c>
      <c r="F111" t="s">
        <v>53</v>
      </c>
      <c r="G111" s="10" t="s">
        <v>54</v>
      </c>
      <c r="H111" s="11">
        <v>-1400</v>
      </c>
      <c r="I111" s="11">
        <v>-1250</v>
      </c>
      <c r="J111" s="10" t="s">
        <v>195</v>
      </c>
      <c r="K111" s="10" t="s">
        <v>57</v>
      </c>
      <c r="L111" s="12" t="s">
        <v>245</v>
      </c>
      <c r="M111" s="10" t="s">
        <v>67</v>
      </c>
      <c r="O111" s="10" t="s">
        <v>60</v>
      </c>
      <c r="P111" s="10" t="s">
        <v>60</v>
      </c>
      <c r="Q111" s="12"/>
      <c r="S111" s="12">
        <v>10</v>
      </c>
      <c r="V111" s="10">
        <v>0</v>
      </c>
      <c r="W111" s="22">
        <v>1</v>
      </c>
      <c r="X111" s="10">
        <v>0</v>
      </c>
      <c r="AA111" s="10">
        <v>0</v>
      </c>
      <c r="AB111" s="10">
        <v>0</v>
      </c>
      <c r="AC111" s="10">
        <v>0</v>
      </c>
      <c r="AE111" s="14">
        <v>0</v>
      </c>
      <c r="AG111" s="10">
        <v>0</v>
      </c>
      <c r="AJ111" s="10">
        <v>0</v>
      </c>
      <c r="AK111" s="14">
        <v>0</v>
      </c>
      <c r="AL111" s="10">
        <v>0</v>
      </c>
      <c r="AM111" s="14">
        <v>0</v>
      </c>
      <c r="AO111" s="10">
        <v>0</v>
      </c>
      <c r="AR111" s="10">
        <v>0</v>
      </c>
      <c r="AS111" s="14">
        <v>0</v>
      </c>
      <c r="AT111" s="10">
        <v>0</v>
      </c>
      <c r="AU111" s="14">
        <v>0</v>
      </c>
      <c r="AY111" s="16" t="s">
        <v>276</v>
      </c>
    </row>
    <row r="112" spans="1:51" x14ac:dyDescent="0.3">
      <c r="A112" s="7" t="s">
        <v>191</v>
      </c>
      <c r="B112" s="7" t="s">
        <v>192</v>
      </c>
      <c r="C112" s="8">
        <v>43.391770579999999</v>
      </c>
      <c r="D112" s="8">
        <v>3.6470514829999998</v>
      </c>
      <c r="E112" s="9">
        <v>7</v>
      </c>
      <c r="F112" t="s">
        <v>53</v>
      </c>
      <c r="G112" s="10" t="s">
        <v>54</v>
      </c>
      <c r="H112" s="11">
        <v>-1200</v>
      </c>
      <c r="I112" s="11">
        <v>-1050</v>
      </c>
      <c r="J112" s="10" t="s">
        <v>195</v>
      </c>
      <c r="K112" s="10" t="s">
        <v>57</v>
      </c>
      <c r="L112" s="12" t="s">
        <v>155</v>
      </c>
      <c r="M112" s="10" t="s">
        <v>73</v>
      </c>
      <c r="O112" s="10" t="s">
        <v>60</v>
      </c>
      <c r="P112" s="10" t="s">
        <v>61</v>
      </c>
      <c r="Q112" s="12"/>
      <c r="S112" s="12">
        <v>313</v>
      </c>
      <c r="V112" s="10">
        <v>1</v>
      </c>
      <c r="W112" s="13">
        <v>7</v>
      </c>
      <c r="X112" s="10">
        <v>0</v>
      </c>
      <c r="AA112" s="10">
        <v>0</v>
      </c>
      <c r="AB112" s="10">
        <v>0</v>
      </c>
      <c r="AC112" s="10">
        <v>0</v>
      </c>
      <c r="AE112" s="14">
        <v>0</v>
      </c>
      <c r="AG112" s="10">
        <v>0</v>
      </c>
      <c r="AJ112" s="14">
        <v>0</v>
      </c>
      <c r="AK112" s="14">
        <v>0</v>
      </c>
      <c r="AL112" s="10">
        <v>0</v>
      </c>
      <c r="AM112" s="14">
        <v>0</v>
      </c>
      <c r="AO112" s="10">
        <v>0</v>
      </c>
      <c r="AR112" s="10">
        <v>0</v>
      </c>
      <c r="AS112" s="14">
        <v>0</v>
      </c>
      <c r="AT112" s="10">
        <v>0</v>
      </c>
      <c r="AU112" s="14">
        <v>0</v>
      </c>
      <c r="AY112" s="16" t="s">
        <v>68</v>
      </c>
    </row>
    <row r="113" spans="1:51" x14ac:dyDescent="0.3">
      <c r="A113" s="7" t="s">
        <v>191</v>
      </c>
      <c r="B113" s="7" t="s">
        <v>192</v>
      </c>
      <c r="C113" s="8">
        <v>43.391770579999999</v>
      </c>
      <c r="D113" s="8">
        <v>3.6470514829999998</v>
      </c>
      <c r="E113" s="9">
        <v>7</v>
      </c>
      <c r="F113" t="s">
        <v>53</v>
      </c>
      <c r="G113" s="10" t="s">
        <v>54</v>
      </c>
      <c r="H113" s="11">
        <v>-1050</v>
      </c>
      <c r="I113" s="11">
        <v>-900</v>
      </c>
      <c r="J113" s="10" t="s">
        <v>195</v>
      </c>
      <c r="K113" s="10" t="s">
        <v>57</v>
      </c>
      <c r="L113" s="12" t="s">
        <v>197</v>
      </c>
      <c r="M113" s="10" t="s">
        <v>73</v>
      </c>
      <c r="O113" s="10" t="s">
        <v>60</v>
      </c>
      <c r="P113" s="10" t="s">
        <v>61</v>
      </c>
      <c r="Q113" s="12"/>
      <c r="S113" s="12">
        <v>31</v>
      </c>
      <c r="V113" s="10">
        <v>1</v>
      </c>
      <c r="W113" s="13">
        <v>5</v>
      </c>
      <c r="X113" s="10">
        <v>0</v>
      </c>
      <c r="AA113" s="10">
        <v>0</v>
      </c>
      <c r="AB113" s="10">
        <v>0</v>
      </c>
      <c r="AC113" s="10">
        <v>0</v>
      </c>
      <c r="AE113" s="14">
        <v>0</v>
      </c>
      <c r="AG113" s="10">
        <v>0</v>
      </c>
      <c r="AJ113" s="14">
        <v>0</v>
      </c>
      <c r="AK113" s="14">
        <v>0</v>
      </c>
      <c r="AL113" s="10">
        <v>0</v>
      </c>
      <c r="AM113" s="14">
        <v>0</v>
      </c>
      <c r="AO113" s="10">
        <v>0</v>
      </c>
      <c r="AR113" s="10">
        <v>0</v>
      </c>
      <c r="AS113" s="14">
        <v>0</v>
      </c>
      <c r="AT113" s="10">
        <v>0</v>
      </c>
      <c r="AU113" s="14">
        <v>0</v>
      </c>
      <c r="AY113" s="16" t="s">
        <v>68</v>
      </c>
    </row>
    <row r="114" spans="1:51" x14ac:dyDescent="0.3">
      <c r="A114" s="7" t="s">
        <v>277</v>
      </c>
      <c r="B114" s="7" t="s">
        <v>278</v>
      </c>
      <c r="C114" s="8">
        <v>45.865108290000002</v>
      </c>
      <c r="D114" s="8">
        <v>6.0837646550000004</v>
      </c>
      <c r="E114" s="9">
        <v>583</v>
      </c>
      <c r="F114" t="s">
        <v>53</v>
      </c>
      <c r="G114" s="10" t="s">
        <v>54</v>
      </c>
      <c r="H114" s="11">
        <v>-1050</v>
      </c>
      <c r="I114" s="11">
        <v>-900</v>
      </c>
      <c r="J114" s="10" t="s">
        <v>195</v>
      </c>
      <c r="K114" s="10" t="s">
        <v>57</v>
      </c>
      <c r="L114" s="12" t="s">
        <v>197</v>
      </c>
      <c r="M114" s="10" t="s">
        <v>73</v>
      </c>
      <c r="O114" s="10" t="s">
        <v>60</v>
      </c>
      <c r="P114" s="10" t="s">
        <v>61</v>
      </c>
      <c r="Q114" s="12"/>
      <c r="S114" s="12">
        <v>10</v>
      </c>
      <c r="V114" s="10">
        <v>0</v>
      </c>
      <c r="W114" s="13">
        <v>8</v>
      </c>
      <c r="X114" s="10">
        <v>0</v>
      </c>
      <c r="AA114" s="10">
        <v>0</v>
      </c>
      <c r="AB114" s="10">
        <v>0</v>
      </c>
      <c r="AC114" s="10">
        <v>0</v>
      </c>
      <c r="AE114" s="14">
        <v>0</v>
      </c>
      <c r="AG114" s="10">
        <v>0</v>
      </c>
      <c r="AJ114" s="10">
        <v>0</v>
      </c>
      <c r="AK114" s="14">
        <v>0</v>
      </c>
      <c r="AL114" s="10">
        <v>0</v>
      </c>
      <c r="AM114" s="14">
        <v>0</v>
      </c>
      <c r="AO114" s="10">
        <v>0</v>
      </c>
      <c r="AR114" s="10">
        <v>0</v>
      </c>
      <c r="AS114" s="14">
        <v>0</v>
      </c>
      <c r="AT114" s="10">
        <v>0</v>
      </c>
      <c r="AU114" s="14">
        <v>0</v>
      </c>
      <c r="AY114" s="16" t="s">
        <v>63</v>
      </c>
    </row>
    <row r="115" spans="1:51" x14ac:dyDescent="0.3">
      <c r="A115" s="7" t="s">
        <v>279</v>
      </c>
      <c r="B115" s="7" t="s">
        <v>280</v>
      </c>
      <c r="C115" s="8">
        <v>43.277640750000003</v>
      </c>
      <c r="D115" s="8">
        <v>5.857139622</v>
      </c>
      <c r="E115" s="9">
        <v>576</v>
      </c>
      <c r="F115" t="s">
        <v>53</v>
      </c>
      <c r="G115" s="10" t="s">
        <v>54</v>
      </c>
      <c r="H115" s="11">
        <v>-1400</v>
      </c>
      <c r="I115" s="11">
        <v>-750</v>
      </c>
      <c r="J115" s="10" t="s">
        <v>195</v>
      </c>
      <c r="K115" s="10" t="s">
        <v>57</v>
      </c>
      <c r="L115" s="12" t="s">
        <v>206</v>
      </c>
      <c r="M115" s="10" t="s">
        <v>67</v>
      </c>
      <c r="O115" s="10" t="s">
        <v>60</v>
      </c>
      <c r="P115" s="10" t="s">
        <v>60</v>
      </c>
      <c r="Q115" s="12"/>
      <c r="S115" s="12">
        <v>0</v>
      </c>
      <c r="V115" s="10">
        <v>0</v>
      </c>
      <c r="W115" s="13">
        <v>2</v>
      </c>
      <c r="X115" s="10">
        <v>0</v>
      </c>
      <c r="AA115" s="10">
        <v>0</v>
      </c>
      <c r="AB115" s="10">
        <v>0</v>
      </c>
      <c r="AC115" s="10">
        <v>0</v>
      </c>
      <c r="AE115" s="14">
        <v>0</v>
      </c>
      <c r="AG115" s="10">
        <v>0</v>
      </c>
      <c r="AJ115" s="10">
        <v>0</v>
      </c>
      <c r="AK115" s="14">
        <v>0</v>
      </c>
      <c r="AL115" s="10">
        <v>0</v>
      </c>
      <c r="AM115" s="14">
        <v>0</v>
      </c>
      <c r="AO115" s="10">
        <v>0</v>
      </c>
      <c r="AR115" s="10">
        <v>0</v>
      </c>
      <c r="AS115" s="14">
        <v>0</v>
      </c>
      <c r="AT115" s="10">
        <v>0</v>
      </c>
      <c r="AU115" s="14">
        <v>0</v>
      </c>
      <c r="AY115" s="16" t="s">
        <v>78</v>
      </c>
    </row>
    <row r="116" spans="1:51" x14ac:dyDescent="0.3">
      <c r="A116" s="7" t="s">
        <v>123</v>
      </c>
      <c r="B116" s="7" t="s">
        <v>124</v>
      </c>
      <c r="C116" s="8">
        <v>45.249405619999997</v>
      </c>
      <c r="D116" s="8">
        <v>6.8152277620000001</v>
      </c>
      <c r="E116" s="9">
        <v>1350</v>
      </c>
      <c r="F116" t="s">
        <v>53</v>
      </c>
      <c r="G116" s="10" t="s">
        <v>54</v>
      </c>
      <c r="H116" s="11">
        <v>-1400</v>
      </c>
      <c r="I116" s="11">
        <v>-1250</v>
      </c>
      <c r="J116" s="10" t="s">
        <v>195</v>
      </c>
      <c r="K116" s="10" t="s">
        <v>57</v>
      </c>
      <c r="L116" s="12" t="s">
        <v>245</v>
      </c>
      <c r="M116" s="10" t="s">
        <v>67</v>
      </c>
      <c r="N116" s="10" t="s">
        <v>119</v>
      </c>
      <c r="O116" s="10" t="s">
        <v>60</v>
      </c>
      <c r="P116" s="10" t="s">
        <v>61</v>
      </c>
      <c r="Q116" s="12"/>
      <c r="S116" s="10">
        <v>3</v>
      </c>
      <c r="V116" s="10">
        <v>12</v>
      </c>
      <c r="W116" s="13">
        <v>1</v>
      </c>
      <c r="X116" s="10">
        <v>0</v>
      </c>
      <c r="AA116" s="10">
        <v>0</v>
      </c>
      <c r="AB116" s="10">
        <v>0</v>
      </c>
      <c r="AC116" s="10">
        <v>0</v>
      </c>
      <c r="AE116" s="14">
        <v>0</v>
      </c>
      <c r="AG116" s="10">
        <v>1</v>
      </c>
      <c r="AJ116" s="10">
        <v>9</v>
      </c>
      <c r="AK116" s="14">
        <v>0</v>
      </c>
      <c r="AL116" s="10">
        <v>1</v>
      </c>
      <c r="AM116" s="14">
        <v>0</v>
      </c>
      <c r="AN116" s="10" t="s">
        <v>62</v>
      </c>
      <c r="AO116" s="10">
        <v>0</v>
      </c>
      <c r="AR116" s="10">
        <v>0</v>
      </c>
      <c r="AS116" s="14">
        <v>0</v>
      </c>
      <c r="AT116" s="10">
        <v>0</v>
      </c>
      <c r="AU116" s="14">
        <v>0</v>
      </c>
      <c r="AW116" t="s">
        <v>125</v>
      </c>
      <c r="AY116" s="16" t="s">
        <v>81</v>
      </c>
    </row>
    <row r="117" spans="1:51" x14ac:dyDescent="0.3">
      <c r="A117" s="7" t="s">
        <v>281</v>
      </c>
      <c r="B117" s="7" t="s">
        <v>282</v>
      </c>
      <c r="C117" s="8">
        <v>44.892047849999997</v>
      </c>
      <c r="D117" s="8">
        <v>4.8509458130000001</v>
      </c>
      <c r="E117" s="9">
        <v>151</v>
      </c>
      <c r="F117" t="s">
        <v>53</v>
      </c>
      <c r="G117" s="10" t="s">
        <v>54</v>
      </c>
      <c r="H117" s="11">
        <v>-800</v>
      </c>
      <c r="I117" s="11">
        <v>-700</v>
      </c>
      <c r="J117" s="10" t="s">
        <v>195</v>
      </c>
      <c r="K117" s="10" t="s">
        <v>57</v>
      </c>
      <c r="L117" s="12" t="s">
        <v>196</v>
      </c>
      <c r="M117" s="10" t="s">
        <v>77</v>
      </c>
      <c r="O117" s="10" t="s">
        <v>60</v>
      </c>
      <c r="P117" s="10" t="s">
        <v>60</v>
      </c>
      <c r="Q117" s="12"/>
      <c r="S117" s="12">
        <v>1126</v>
      </c>
      <c r="V117" s="10">
        <v>137</v>
      </c>
      <c r="W117" s="13">
        <v>1</v>
      </c>
      <c r="X117" s="10">
        <v>0</v>
      </c>
      <c r="AA117" s="10">
        <v>0</v>
      </c>
      <c r="AB117" s="10">
        <v>0</v>
      </c>
      <c r="AC117" s="10">
        <v>0</v>
      </c>
      <c r="AE117" s="14">
        <v>0</v>
      </c>
      <c r="AG117" s="10">
        <v>1</v>
      </c>
      <c r="AJ117" s="10">
        <v>137</v>
      </c>
      <c r="AK117" s="14">
        <v>0</v>
      </c>
      <c r="AL117" s="10">
        <v>1</v>
      </c>
      <c r="AM117" s="14">
        <v>1</v>
      </c>
      <c r="AN117" s="10" t="s">
        <v>62</v>
      </c>
      <c r="AO117" s="14">
        <v>0</v>
      </c>
      <c r="AR117" s="10">
        <v>0</v>
      </c>
      <c r="AS117" s="14">
        <v>0</v>
      </c>
      <c r="AT117" s="14">
        <v>0</v>
      </c>
      <c r="AU117" s="14">
        <v>0</v>
      </c>
      <c r="AY117" s="16" t="s">
        <v>68</v>
      </c>
    </row>
    <row r="118" spans="1:51" x14ac:dyDescent="0.3">
      <c r="A118" s="7" t="s">
        <v>283</v>
      </c>
      <c r="B118" s="7" t="s">
        <v>284</v>
      </c>
      <c r="C118" s="8">
        <v>44.241942860000002</v>
      </c>
      <c r="D118" s="8">
        <v>4.3229991170000002</v>
      </c>
      <c r="E118" s="9">
        <v>220</v>
      </c>
      <c r="F118" t="s">
        <v>53</v>
      </c>
      <c r="G118" s="10" t="s">
        <v>54</v>
      </c>
      <c r="H118" s="11">
        <v>-1200</v>
      </c>
      <c r="I118" s="11">
        <v>-1050</v>
      </c>
      <c r="J118" s="10" t="s">
        <v>195</v>
      </c>
      <c r="K118" s="10" t="s">
        <v>57</v>
      </c>
      <c r="L118" s="12" t="s">
        <v>223</v>
      </c>
      <c r="M118" s="10" t="s">
        <v>67</v>
      </c>
      <c r="O118" s="10" t="s">
        <v>60</v>
      </c>
      <c r="P118" s="10" t="s">
        <v>60</v>
      </c>
      <c r="Q118" s="12"/>
      <c r="S118" s="12">
        <v>335</v>
      </c>
      <c r="V118" s="10">
        <v>0</v>
      </c>
      <c r="W118" s="13">
        <v>1</v>
      </c>
      <c r="X118" s="10">
        <v>0</v>
      </c>
      <c r="AA118" s="10">
        <v>0</v>
      </c>
      <c r="AB118" s="10">
        <v>0</v>
      </c>
      <c r="AC118" s="10">
        <v>0</v>
      </c>
      <c r="AE118" s="14">
        <v>0</v>
      </c>
      <c r="AG118" s="10">
        <v>0</v>
      </c>
      <c r="AJ118" s="14">
        <v>0</v>
      </c>
      <c r="AK118" s="14">
        <v>0</v>
      </c>
      <c r="AL118" s="10">
        <v>0</v>
      </c>
      <c r="AM118" s="14">
        <v>0</v>
      </c>
      <c r="AO118" s="10">
        <v>0</v>
      </c>
      <c r="AR118" s="10">
        <v>0</v>
      </c>
      <c r="AS118" s="14">
        <v>0</v>
      </c>
      <c r="AT118" s="10">
        <v>0</v>
      </c>
      <c r="AU118" s="14">
        <v>0</v>
      </c>
      <c r="AY118" s="16" t="s">
        <v>178</v>
      </c>
    </row>
    <row r="119" spans="1:51" x14ac:dyDescent="0.3">
      <c r="A119" s="7" t="s">
        <v>285</v>
      </c>
      <c r="B119" s="7" t="s">
        <v>286</v>
      </c>
      <c r="C119" s="8">
        <v>44.07003134</v>
      </c>
      <c r="D119" s="8">
        <v>3.3912987569999999</v>
      </c>
      <c r="E119" s="9">
        <v>842</v>
      </c>
      <c r="F119" t="s">
        <v>53</v>
      </c>
      <c r="G119" s="10" t="s">
        <v>54</v>
      </c>
      <c r="H119" s="11">
        <v>-1200</v>
      </c>
      <c r="I119" s="11">
        <v>-1050</v>
      </c>
      <c r="J119" s="10" t="s">
        <v>195</v>
      </c>
      <c r="K119" s="10" t="s">
        <v>57</v>
      </c>
      <c r="L119" s="12" t="s">
        <v>287</v>
      </c>
      <c r="M119" s="10" t="s">
        <v>67</v>
      </c>
      <c r="N119" s="10" t="s">
        <v>119</v>
      </c>
      <c r="O119" s="10" t="s">
        <v>60</v>
      </c>
      <c r="P119" s="10" t="s">
        <v>61</v>
      </c>
      <c r="Q119" s="12"/>
      <c r="S119" s="12">
        <v>151118</v>
      </c>
      <c r="V119" s="10">
        <v>1613</v>
      </c>
      <c r="W119" s="13">
        <v>6</v>
      </c>
      <c r="X119" s="10">
        <v>0</v>
      </c>
      <c r="AA119" s="10">
        <v>0</v>
      </c>
      <c r="AB119" s="10">
        <v>0</v>
      </c>
      <c r="AC119" s="10">
        <v>0</v>
      </c>
      <c r="AE119" s="14">
        <v>0</v>
      </c>
      <c r="AG119" s="10">
        <v>0</v>
      </c>
      <c r="AJ119" s="14">
        <v>0</v>
      </c>
      <c r="AK119" s="14">
        <v>0</v>
      </c>
      <c r="AL119" s="10">
        <v>0</v>
      </c>
      <c r="AM119" s="14">
        <v>0</v>
      </c>
      <c r="AO119" s="10">
        <v>0</v>
      </c>
      <c r="AR119" s="10">
        <v>0</v>
      </c>
      <c r="AS119" s="14">
        <v>0</v>
      </c>
      <c r="AT119" s="10">
        <v>0</v>
      </c>
      <c r="AU119" s="14">
        <v>0</v>
      </c>
      <c r="AW119" t="s">
        <v>252</v>
      </c>
      <c r="AY119" s="16" t="s">
        <v>68</v>
      </c>
    </row>
    <row r="120" spans="1:51" x14ac:dyDescent="0.3">
      <c r="A120" s="7" t="s">
        <v>288</v>
      </c>
      <c r="B120" s="7" t="s">
        <v>289</v>
      </c>
      <c r="C120" s="8">
        <v>43.738464059999998</v>
      </c>
      <c r="D120" s="8">
        <v>7.1019443610000001</v>
      </c>
      <c r="E120" s="9">
        <v>533</v>
      </c>
      <c r="F120" t="s">
        <v>53</v>
      </c>
      <c r="G120" s="10" t="s">
        <v>54</v>
      </c>
      <c r="H120" s="11">
        <v>-1350</v>
      </c>
      <c r="I120" s="11">
        <v>-750</v>
      </c>
      <c r="J120" s="10" t="s">
        <v>195</v>
      </c>
      <c r="K120" s="10" t="s">
        <v>57</v>
      </c>
      <c r="L120" s="12" t="s">
        <v>206</v>
      </c>
      <c r="M120" s="10" t="s">
        <v>77</v>
      </c>
      <c r="O120" s="10" t="s">
        <v>60</v>
      </c>
      <c r="P120" s="10" t="s">
        <v>61</v>
      </c>
      <c r="Q120" s="17"/>
      <c r="S120" s="12">
        <v>41</v>
      </c>
      <c r="V120" s="10">
        <v>5</v>
      </c>
      <c r="W120" s="13">
        <v>1</v>
      </c>
      <c r="X120" s="10">
        <v>0</v>
      </c>
      <c r="AA120" s="10">
        <v>0</v>
      </c>
      <c r="AB120" s="10">
        <v>0</v>
      </c>
      <c r="AC120" s="10">
        <v>0</v>
      </c>
      <c r="AE120" s="14">
        <v>0</v>
      </c>
      <c r="AG120" s="14">
        <v>0</v>
      </c>
      <c r="AJ120" s="14">
        <v>0</v>
      </c>
      <c r="AK120" s="14">
        <v>0</v>
      </c>
      <c r="AL120" s="14">
        <v>0</v>
      </c>
      <c r="AM120" s="14">
        <v>0</v>
      </c>
      <c r="AO120" s="14">
        <v>0</v>
      </c>
      <c r="AR120" s="10">
        <v>0</v>
      </c>
      <c r="AS120" s="14">
        <v>0</v>
      </c>
      <c r="AT120" s="14">
        <v>0</v>
      </c>
      <c r="AU120" s="14">
        <v>0</v>
      </c>
      <c r="AY120" s="16" t="s">
        <v>68</v>
      </c>
    </row>
    <row r="121" spans="1:51" x14ac:dyDescent="0.3">
      <c r="A121" s="7" t="s">
        <v>290</v>
      </c>
      <c r="B121" s="7" t="s">
        <v>291</v>
      </c>
      <c r="C121" s="8">
        <v>43.258151939999998</v>
      </c>
      <c r="D121" s="8">
        <v>3.2272026020000002</v>
      </c>
      <c r="E121" s="9">
        <v>14</v>
      </c>
      <c r="F121" t="s">
        <v>53</v>
      </c>
      <c r="G121" s="10" t="s">
        <v>54</v>
      </c>
      <c r="H121" s="11">
        <v>-1200</v>
      </c>
      <c r="I121" s="11">
        <v>-900</v>
      </c>
      <c r="J121" s="10" t="s">
        <v>195</v>
      </c>
      <c r="K121" s="10" t="s">
        <v>57</v>
      </c>
      <c r="L121" s="12" t="s">
        <v>223</v>
      </c>
      <c r="M121" s="10" t="s">
        <v>73</v>
      </c>
      <c r="O121" s="10" t="s">
        <v>60</v>
      </c>
      <c r="P121" s="10" t="s">
        <v>61</v>
      </c>
      <c r="Q121" s="12"/>
      <c r="S121" s="12">
        <v>155</v>
      </c>
      <c r="V121" s="10">
        <v>0</v>
      </c>
      <c r="W121" s="13">
        <v>6</v>
      </c>
      <c r="X121" s="10">
        <v>0</v>
      </c>
      <c r="AA121" s="10">
        <v>0</v>
      </c>
      <c r="AB121" s="10">
        <v>0</v>
      </c>
      <c r="AC121" s="10">
        <v>0</v>
      </c>
      <c r="AE121" s="14">
        <v>0</v>
      </c>
      <c r="AG121" s="10">
        <v>0</v>
      </c>
      <c r="AJ121" s="14">
        <v>0</v>
      </c>
      <c r="AK121" s="14">
        <v>0</v>
      </c>
      <c r="AL121" s="10">
        <v>0</v>
      </c>
      <c r="AM121" s="14">
        <v>0</v>
      </c>
      <c r="AO121" s="10">
        <v>0</v>
      </c>
      <c r="AR121" s="10">
        <v>0</v>
      </c>
      <c r="AS121" s="14">
        <v>0</v>
      </c>
      <c r="AT121" s="10">
        <v>0</v>
      </c>
      <c r="AU121" s="14">
        <v>0</v>
      </c>
      <c r="AY121" s="16" t="s">
        <v>68</v>
      </c>
    </row>
    <row r="122" spans="1:51" x14ac:dyDescent="0.3">
      <c r="A122" s="7" t="s">
        <v>290</v>
      </c>
      <c r="B122" s="7" t="s">
        <v>291</v>
      </c>
      <c r="C122" s="8">
        <v>43.258151939999998</v>
      </c>
      <c r="D122" s="8">
        <v>3.2272026020000002</v>
      </c>
      <c r="E122" s="9">
        <v>14</v>
      </c>
      <c r="F122" t="s">
        <v>53</v>
      </c>
      <c r="G122" s="10" t="s">
        <v>54</v>
      </c>
      <c r="H122" s="11">
        <v>-900</v>
      </c>
      <c r="I122" s="11">
        <v>-750</v>
      </c>
      <c r="J122" s="10" t="s">
        <v>195</v>
      </c>
      <c r="K122" s="10" t="s">
        <v>57</v>
      </c>
      <c r="L122" s="12" t="s">
        <v>196</v>
      </c>
      <c r="M122" s="10" t="s">
        <v>73</v>
      </c>
      <c r="O122" s="10" t="s">
        <v>60</v>
      </c>
      <c r="P122" s="10" t="s">
        <v>61</v>
      </c>
      <c r="Q122" s="12"/>
      <c r="S122" s="12">
        <v>2169</v>
      </c>
      <c r="V122" s="10">
        <v>1267</v>
      </c>
      <c r="W122" s="13">
        <v>7</v>
      </c>
      <c r="X122" s="10">
        <v>0</v>
      </c>
      <c r="AA122" s="10">
        <v>0</v>
      </c>
      <c r="AB122" s="10">
        <v>0</v>
      </c>
      <c r="AC122" s="10">
        <v>0</v>
      </c>
      <c r="AE122" s="14">
        <v>0</v>
      </c>
      <c r="AG122" s="10">
        <v>0</v>
      </c>
      <c r="AJ122" s="14">
        <v>0</v>
      </c>
      <c r="AK122" s="14">
        <v>0</v>
      </c>
      <c r="AL122" s="10">
        <v>0</v>
      </c>
      <c r="AM122" s="14">
        <v>0</v>
      </c>
      <c r="AO122" s="10">
        <v>0</v>
      </c>
      <c r="AR122" s="10">
        <v>0</v>
      </c>
      <c r="AS122" s="14">
        <v>0</v>
      </c>
      <c r="AT122" s="10">
        <v>0</v>
      </c>
      <c r="AU122" s="14">
        <v>0</v>
      </c>
      <c r="AY122" s="16" t="s">
        <v>68</v>
      </c>
    </row>
    <row r="123" spans="1:51" x14ac:dyDescent="0.3">
      <c r="A123" s="7" t="s">
        <v>292</v>
      </c>
      <c r="B123" s="7" t="s">
        <v>293</v>
      </c>
      <c r="C123" s="8">
        <v>45.775079699999999</v>
      </c>
      <c r="D123" s="8">
        <v>3.2843067170000002</v>
      </c>
      <c r="E123" s="9">
        <v>381</v>
      </c>
      <c r="F123" t="s">
        <v>53</v>
      </c>
      <c r="G123" s="10" t="s">
        <v>54</v>
      </c>
      <c r="H123" s="11">
        <v>-1350</v>
      </c>
      <c r="I123" s="11">
        <v>-750</v>
      </c>
      <c r="J123" s="10" t="s">
        <v>195</v>
      </c>
      <c r="K123" s="10" t="s">
        <v>57</v>
      </c>
      <c r="L123" s="12" t="s">
        <v>206</v>
      </c>
      <c r="M123" s="10" t="s">
        <v>84</v>
      </c>
      <c r="O123" s="10" t="s">
        <v>60</v>
      </c>
      <c r="P123" s="10" t="s">
        <v>61</v>
      </c>
      <c r="Q123" s="12"/>
      <c r="S123" s="12">
        <v>39</v>
      </c>
      <c r="V123" s="10">
        <v>0</v>
      </c>
      <c r="W123" s="13">
        <v>3</v>
      </c>
      <c r="X123" s="10">
        <v>0</v>
      </c>
      <c r="AA123" s="10">
        <v>0</v>
      </c>
      <c r="AB123" s="10">
        <v>0</v>
      </c>
      <c r="AC123" s="10">
        <v>0</v>
      </c>
      <c r="AE123" s="14">
        <v>0</v>
      </c>
      <c r="AG123" s="10">
        <v>0</v>
      </c>
      <c r="AJ123" s="14">
        <v>0</v>
      </c>
      <c r="AK123" s="14">
        <v>0</v>
      </c>
      <c r="AL123" s="10">
        <v>0</v>
      </c>
      <c r="AM123" s="14">
        <v>0</v>
      </c>
      <c r="AO123" s="10">
        <v>0</v>
      </c>
      <c r="AR123" s="10">
        <v>0</v>
      </c>
      <c r="AS123" s="14">
        <v>0</v>
      </c>
      <c r="AT123" s="10">
        <v>0</v>
      </c>
      <c r="AU123" s="14">
        <v>0</v>
      </c>
      <c r="AY123" s="16" t="s">
        <v>63</v>
      </c>
    </row>
    <row r="124" spans="1:51" x14ac:dyDescent="0.3">
      <c r="A124" s="20" t="s">
        <v>294</v>
      </c>
      <c r="B124" s="7" t="s">
        <v>295</v>
      </c>
      <c r="C124" s="8">
        <v>45.673173239999997</v>
      </c>
      <c r="D124" s="8">
        <v>3.1640507950000001</v>
      </c>
      <c r="E124" s="9">
        <v>427</v>
      </c>
      <c r="F124" t="s">
        <v>53</v>
      </c>
      <c r="G124" s="10" t="s">
        <v>54</v>
      </c>
      <c r="H124" s="11">
        <v>-950</v>
      </c>
      <c r="I124" s="11">
        <v>-800</v>
      </c>
      <c r="J124" s="10" t="s">
        <v>195</v>
      </c>
      <c r="K124" s="10" t="s">
        <v>57</v>
      </c>
      <c r="L124" s="12" t="s">
        <v>216</v>
      </c>
      <c r="M124" s="10" t="s">
        <v>73</v>
      </c>
      <c r="O124" s="10" t="s">
        <v>60</v>
      </c>
      <c r="P124" s="10" t="s">
        <v>61</v>
      </c>
      <c r="Q124" s="12"/>
      <c r="S124" s="12">
        <v>257</v>
      </c>
      <c r="V124" s="10">
        <v>32</v>
      </c>
      <c r="W124" s="13">
        <v>27</v>
      </c>
      <c r="X124" s="10">
        <v>0</v>
      </c>
      <c r="AA124" s="10">
        <v>0</v>
      </c>
      <c r="AB124" s="10">
        <v>0</v>
      </c>
      <c r="AC124" s="10">
        <v>0</v>
      </c>
      <c r="AE124" s="14">
        <v>0</v>
      </c>
      <c r="AG124" s="10">
        <v>1</v>
      </c>
      <c r="AJ124" s="10">
        <v>3</v>
      </c>
      <c r="AK124" s="14">
        <v>0</v>
      </c>
      <c r="AL124" s="10">
        <v>2</v>
      </c>
      <c r="AM124" s="14">
        <v>0</v>
      </c>
      <c r="AN124" s="10" t="s">
        <v>62</v>
      </c>
      <c r="AO124" s="10">
        <v>0</v>
      </c>
      <c r="AR124" s="10">
        <v>0</v>
      </c>
      <c r="AS124" s="14">
        <v>0</v>
      </c>
      <c r="AT124" s="10">
        <v>0</v>
      </c>
      <c r="AU124" s="14">
        <v>0</v>
      </c>
      <c r="AY124" s="16" t="s">
        <v>63</v>
      </c>
    </row>
    <row r="125" spans="1:51" x14ac:dyDescent="0.3">
      <c r="A125" s="7" t="s">
        <v>296</v>
      </c>
      <c r="B125" s="7" t="s">
        <v>297</v>
      </c>
      <c r="C125" s="8">
        <v>43.317248999999997</v>
      </c>
      <c r="D125" s="8">
        <v>3.2895849429999999</v>
      </c>
      <c r="E125" s="9">
        <v>12</v>
      </c>
      <c r="F125" t="s">
        <v>53</v>
      </c>
      <c r="G125" s="10" t="s">
        <v>54</v>
      </c>
      <c r="H125" s="11">
        <v>-1250</v>
      </c>
      <c r="I125" s="11">
        <v>-900</v>
      </c>
      <c r="J125" s="10" t="s">
        <v>195</v>
      </c>
      <c r="K125" s="10" t="s">
        <v>57</v>
      </c>
      <c r="L125" s="12" t="s">
        <v>298</v>
      </c>
      <c r="M125" s="10" t="s">
        <v>59</v>
      </c>
      <c r="O125" s="10" t="s">
        <v>60</v>
      </c>
      <c r="P125" s="10" t="s">
        <v>61</v>
      </c>
      <c r="Q125" s="12"/>
      <c r="S125" s="12">
        <v>2181</v>
      </c>
      <c r="V125" s="10">
        <v>10</v>
      </c>
      <c r="W125" s="13">
        <v>1</v>
      </c>
      <c r="X125" s="10">
        <v>0</v>
      </c>
      <c r="AA125" s="10">
        <v>0</v>
      </c>
      <c r="AB125" s="10">
        <v>0</v>
      </c>
      <c r="AC125" s="10">
        <v>0</v>
      </c>
      <c r="AE125" s="14">
        <v>0</v>
      </c>
      <c r="AG125" s="10">
        <v>0</v>
      </c>
      <c r="AJ125" s="14">
        <v>0</v>
      </c>
      <c r="AK125" s="14">
        <v>0</v>
      </c>
      <c r="AL125" s="10">
        <v>0</v>
      </c>
      <c r="AM125" s="14">
        <v>0</v>
      </c>
      <c r="AO125" s="10">
        <v>0</v>
      </c>
      <c r="AR125" s="10">
        <v>0</v>
      </c>
      <c r="AS125" s="14">
        <v>0</v>
      </c>
      <c r="AT125" s="10">
        <v>0</v>
      </c>
      <c r="AU125" s="14">
        <v>0</v>
      </c>
      <c r="AY125" s="16" t="s">
        <v>68</v>
      </c>
    </row>
    <row r="126" spans="1:51" x14ac:dyDescent="0.3">
      <c r="A126" s="7" t="s">
        <v>135</v>
      </c>
      <c r="B126" s="7" t="s">
        <v>136</v>
      </c>
      <c r="C126" s="8">
        <v>45.534991310000002</v>
      </c>
      <c r="D126" s="8">
        <v>4.2765042700000002</v>
      </c>
      <c r="E126" s="9">
        <v>388</v>
      </c>
      <c r="F126" t="s">
        <v>53</v>
      </c>
      <c r="G126" s="10" t="s">
        <v>54</v>
      </c>
      <c r="H126" s="11">
        <v>-550</v>
      </c>
      <c r="I126" s="11">
        <v>-475</v>
      </c>
      <c r="J126" s="10" t="s">
        <v>299</v>
      </c>
      <c r="K126" s="10" t="s">
        <v>300</v>
      </c>
      <c r="L126" s="12" t="s">
        <v>301</v>
      </c>
      <c r="M126" s="10" t="s">
        <v>59</v>
      </c>
      <c r="O126" s="10" t="s">
        <v>60</v>
      </c>
      <c r="P126" s="10" t="s">
        <v>61</v>
      </c>
      <c r="Q126" s="12"/>
      <c r="S126" s="12">
        <v>145</v>
      </c>
      <c r="V126" s="10">
        <v>1</v>
      </c>
      <c r="W126" s="13">
        <v>8</v>
      </c>
      <c r="X126" s="10">
        <v>0</v>
      </c>
      <c r="AA126" s="10">
        <v>0</v>
      </c>
      <c r="AB126" s="10">
        <v>0</v>
      </c>
      <c r="AC126" s="10">
        <v>0</v>
      </c>
      <c r="AE126" s="14">
        <v>0</v>
      </c>
      <c r="AG126" s="10">
        <v>0</v>
      </c>
      <c r="AJ126" s="14">
        <v>0</v>
      </c>
      <c r="AK126" s="14">
        <v>0</v>
      </c>
      <c r="AL126" s="10">
        <v>0</v>
      </c>
      <c r="AM126" s="14">
        <v>0</v>
      </c>
      <c r="AO126" s="10">
        <v>0</v>
      </c>
      <c r="AR126" s="10">
        <v>0</v>
      </c>
      <c r="AS126" s="14">
        <v>0</v>
      </c>
      <c r="AT126" s="10">
        <v>0</v>
      </c>
      <c r="AU126" s="14">
        <v>0</v>
      </c>
      <c r="AY126" s="16" t="s">
        <v>63</v>
      </c>
    </row>
    <row r="127" spans="1:51" x14ac:dyDescent="0.3">
      <c r="A127" s="20" t="s">
        <v>302</v>
      </c>
      <c r="B127" s="7" t="s">
        <v>303</v>
      </c>
      <c r="C127" s="8">
        <v>45.793182899999998</v>
      </c>
      <c r="D127" s="8">
        <v>3.1710816909999999</v>
      </c>
      <c r="E127" s="9">
        <v>324</v>
      </c>
      <c r="F127" t="s">
        <v>53</v>
      </c>
      <c r="G127" s="10" t="s">
        <v>54</v>
      </c>
      <c r="H127" s="11">
        <v>-750</v>
      </c>
      <c r="I127" s="11">
        <v>-450</v>
      </c>
      <c r="J127" s="10" t="s">
        <v>299</v>
      </c>
      <c r="K127" s="10" t="s">
        <v>300</v>
      </c>
      <c r="L127" s="18" t="s">
        <v>304</v>
      </c>
      <c r="M127" s="10" t="s">
        <v>73</v>
      </c>
      <c r="O127" s="10" t="s">
        <v>60</v>
      </c>
      <c r="P127" s="10" t="s">
        <v>61</v>
      </c>
      <c r="Q127" s="12"/>
      <c r="S127" s="12">
        <v>2</v>
      </c>
      <c r="V127" s="10">
        <v>0</v>
      </c>
      <c r="W127" s="13">
        <v>1</v>
      </c>
      <c r="X127" s="10">
        <v>0</v>
      </c>
      <c r="AA127" s="10">
        <v>0</v>
      </c>
      <c r="AB127" s="10">
        <v>0</v>
      </c>
      <c r="AC127" s="10">
        <v>0</v>
      </c>
      <c r="AE127" s="14">
        <v>0</v>
      </c>
      <c r="AG127" s="10">
        <v>0</v>
      </c>
      <c r="AJ127" s="14">
        <v>0</v>
      </c>
      <c r="AK127" s="14">
        <v>0</v>
      </c>
      <c r="AL127" s="10">
        <v>0</v>
      </c>
      <c r="AM127" s="14">
        <v>0</v>
      </c>
      <c r="AO127" s="10">
        <v>0</v>
      </c>
      <c r="AR127" s="10">
        <v>0</v>
      </c>
      <c r="AS127" s="14">
        <v>0</v>
      </c>
      <c r="AT127" s="10">
        <v>0</v>
      </c>
      <c r="AU127" s="14">
        <v>0</v>
      </c>
      <c r="AY127" s="16" t="s">
        <v>305</v>
      </c>
    </row>
    <row r="128" spans="1:51" x14ac:dyDescent="0.3">
      <c r="A128" s="7" t="s">
        <v>141</v>
      </c>
      <c r="B128" s="7" t="s">
        <v>142</v>
      </c>
      <c r="C128" s="8">
        <v>42.720809510000002</v>
      </c>
      <c r="D128" s="8">
        <v>2.6237490239999999</v>
      </c>
      <c r="E128" s="9">
        <v>336</v>
      </c>
      <c r="F128" t="s">
        <v>53</v>
      </c>
      <c r="G128" s="10" t="s">
        <v>54</v>
      </c>
      <c r="H128" s="11">
        <v>-750</v>
      </c>
      <c r="I128" s="11">
        <v>-450</v>
      </c>
      <c r="J128" s="10" t="s">
        <v>299</v>
      </c>
      <c r="K128" s="10" t="s">
        <v>300</v>
      </c>
      <c r="L128" s="12" t="s">
        <v>306</v>
      </c>
      <c r="M128" s="10" t="s">
        <v>67</v>
      </c>
      <c r="O128" s="10" t="s">
        <v>60</v>
      </c>
      <c r="P128" s="10" t="s">
        <v>60</v>
      </c>
      <c r="Q128" s="17"/>
      <c r="S128" s="12">
        <v>132</v>
      </c>
      <c r="V128" s="10">
        <v>1</v>
      </c>
      <c r="W128" s="13">
        <v>3</v>
      </c>
      <c r="X128" s="10">
        <v>0</v>
      </c>
      <c r="AA128" s="10">
        <v>0</v>
      </c>
      <c r="AB128" s="10">
        <v>0</v>
      </c>
      <c r="AC128" s="10">
        <v>0</v>
      </c>
      <c r="AE128" s="14">
        <v>0</v>
      </c>
      <c r="AG128" s="10">
        <v>1</v>
      </c>
      <c r="AJ128" s="10">
        <v>1</v>
      </c>
      <c r="AK128" s="14">
        <v>0</v>
      </c>
      <c r="AL128" s="10">
        <v>1</v>
      </c>
      <c r="AM128" s="14">
        <v>0</v>
      </c>
      <c r="AN128" s="10" t="s">
        <v>62</v>
      </c>
      <c r="AO128" s="10">
        <v>0</v>
      </c>
      <c r="AR128" s="10">
        <v>0</v>
      </c>
      <c r="AS128" s="14">
        <v>0</v>
      </c>
      <c r="AT128" s="10">
        <v>0</v>
      </c>
      <c r="AU128" s="14">
        <v>0</v>
      </c>
      <c r="AY128" s="16" t="s">
        <v>96</v>
      </c>
    </row>
    <row r="129" spans="1:51" x14ac:dyDescent="0.3">
      <c r="A129" s="7" t="s">
        <v>307</v>
      </c>
      <c r="B129" s="7" t="s">
        <v>308</v>
      </c>
      <c r="C129" s="8">
        <v>43.35698627</v>
      </c>
      <c r="D129" s="8">
        <v>3.4166040849999999</v>
      </c>
      <c r="E129" s="9">
        <v>17</v>
      </c>
      <c r="F129" t="s">
        <v>53</v>
      </c>
      <c r="G129" s="10" t="s">
        <v>54</v>
      </c>
      <c r="H129" s="11">
        <v>-580</v>
      </c>
      <c r="I129" s="11">
        <v>-525</v>
      </c>
      <c r="J129" s="10" t="s">
        <v>299</v>
      </c>
      <c r="K129" s="10" t="s">
        <v>300</v>
      </c>
      <c r="L129" s="12" t="s">
        <v>309</v>
      </c>
      <c r="M129" s="10" t="s">
        <v>73</v>
      </c>
      <c r="O129" s="10" t="s">
        <v>60</v>
      </c>
      <c r="P129" s="10" t="s">
        <v>61</v>
      </c>
      <c r="Q129" s="12"/>
      <c r="S129" s="12">
        <v>4128</v>
      </c>
      <c r="V129" s="10">
        <v>611</v>
      </c>
      <c r="W129" s="13">
        <v>20</v>
      </c>
      <c r="X129" s="10">
        <v>0</v>
      </c>
      <c r="AA129" s="10">
        <v>0</v>
      </c>
      <c r="AB129" s="10">
        <v>0</v>
      </c>
      <c r="AC129" s="10">
        <v>0</v>
      </c>
      <c r="AE129" s="14">
        <v>0</v>
      </c>
      <c r="AG129" s="10">
        <v>0</v>
      </c>
      <c r="AJ129" s="14">
        <v>0</v>
      </c>
      <c r="AK129" s="14">
        <v>0</v>
      </c>
      <c r="AL129" s="10">
        <v>0</v>
      </c>
      <c r="AM129" s="14">
        <v>0</v>
      </c>
      <c r="AO129" s="10">
        <v>0</v>
      </c>
      <c r="AR129" s="10">
        <v>0</v>
      </c>
      <c r="AS129" s="14">
        <v>0</v>
      </c>
      <c r="AT129" s="10">
        <v>0</v>
      </c>
      <c r="AU129" s="14">
        <v>0</v>
      </c>
      <c r="AY129" s="16" t="s">
        <v>256</v>
      </c>
    </row>
    <row r="130" spans="1:51" x14ac:dyDescent="0.3">
      <c r="A130" s="7" t="s">
        <v>310</v>
      </c>
      <c r="B130" s="7" t="s">
        <v>70</v>
      </c>
      <c r="C130" s="8">
        <v>45.839032539999998</v>
      </c>
      <c r="D130" s="8">
        <v>4.9973800219999998</v>
      </c>
      <c r="E130" s="9">
        <v>237</v>
      </c>
      <c r="F130" t="s">
        <v>53</v>
      </c>
      <c r="G130" s="10" t="s">
        <v>54</v>
      </c>
      <c r="H130" s="11">
        <v>-750</v>
      </c>
      <c r="I130" s="11">
        <v>-600</v>
      </c>
      <c r="J130" s="10" t="s">
        <v>299</v>
      </c>
      <c r="K130" s="10" t="s">
        <v>300</v>
      </c>
      <c r="L130" s="12" t="s">
        <v>311</v>
      </c>
      <c r="M130" s="10" t="s">
        <v>59</v>
      </c>
      <c r="O130" s="10" t="s">
        <v>60</v>
      </c>
      <c r="P130" s="10" t="s">
        <v>61</v>
      </c>
      <c r="Q130" s="17"/>
      <c r="S130" s="12">
        <v>3</v>
      </c>
      <c r="V130" s="10">
        <v>0</v>
      </c>
      <c r="W130" s="13">
        <v>7</v>
      </c>
      <c r="X130" s="10">
        <v>0</v>
      </c>
      <c r="AA130" s="10">
        <v>0</v>
      </c>
      <c r="AB130" s="10">
        <v>0</v>
      </c>
      <c r="AC130" s="10">
        <v>0</v>
      </c>
      <c r="AE130" s="14">
        <v>0</v>
      </c>
      <c r="AG130" s="14">
        <v>0</v>
      </c>
      <c r="AJ130" s="14">
        <v>0</v>
      </c>
      <c r="AK130" s="14">
        <v>0</v>
      </c>
      <c r="AL130" s="14">
        <v>0</v>
      </c>
      <c r="AM130" s="14">
        <v>0</v>
      </c>
      <c r="AO130" s="14">
        <v>0</v>
      </c>
      <c r="AR130" s="10">
        <v>0</v>
      </c>
      <c r="AS130" s="14">
        <v>0</v>
      </c>
      <c r="AT130" s="14">
        <v>0</v>
      </c>
      <c r="AU130" s="14">
        <v>0</v>
      </c>
      <c r="AY130" s="16" t="s">
        <v>63</v>
      </c>
    </row>
    <row r="131" spans="1:51" x14ac:dyDescent="0.3">
      <c r="A131" s="7" t="s">
        <v>312</v>
      </c>
      <c r="B131" s="7" t="s">
        <v>313</v>
      </c>
      <c r="C131" s="8">
        <v>43.65472355</v>
      </c>
      <c r="D131" s="8">
        <v>4.2454227329999998</v>
      </c>
      <c r="E131" s="9">
        <v>41</v>
      </c>
      <c r="F131" t="s">
        <v>53</v>
      </c>
      <c r="G131" s="10" t="s">
        <v>54</v>
      </c>
      <c r="H131" s="11">
        <v>-525</v>
      </c>
      <c r="I131" s="11">
        <v>-500</v>
      </c>
      <c r="J131" s="10" t="s">
        <v>299</v>
      </c>
      <c r="K131" s="10" t="s">
        <v>300</v>
      </c>
      <c r="L131" s="12" t="s">
        <v>314</v>
      </c>
      <c r="M131" s="10" t="s">
        <v>73</v>
      </c>
      <c r="O131" s="10" t="s">
        <v>60</v>
      </c>
      <c r="P131" s="10" t="s">
        <v>61</v>
      </c>
      <c r="Q131" s="12"/>
      <c r="S131" s="12">
        <v>541</v>
      </c>
      <c r="V131" s="10">
        <v>65</v>
      </c>
      <c r="W131" s="13">
        <v>3</v>
      </c>
      <c r="X131" s="10">
        <v>0</v>
      </c>
      <c r="AA131" s="10">
        <v>0</v>
      </c>
      <c r="AB131" s="10">
        <v>0</v>
      </c>
      <c r="AC131" s="10">
        <v>0</v>
      </c>
      <c r="AE131" s="14">
        <v>0</v>
      </c>
      <c r="AG131" s="10">
        <v>0</v>
      </c>
      <c r="AJ131" s="14">
        <v>0</v>
      </c>
      <c r="AK131" s="14">
        <v>0</v>
      </c>
      <c r="AL131" s="10">
        <v>0</v>
      </c>
      <c r="AM131" s="14">
        <v>0</v>
      </c>
      <c r="AO131" s="14">
        <v>0</v>
      </c>
      <c r="AR131" s="10">
        <v>0</v>
      </c>
      <c r="AS131" s="14">
        <v>0</v>
      </c>
      <c r="AT131" s="14">
        <v>0</v>
      </c>
      <c r="AU131" s="14">
        <v>0</v>
      </c>
      <c r="AY131" s="16" t="s">
        <v>256</v>
      </c>
    </row>
    <row r="132" spans="1:51" x14ac:dyDescent="0.3">
      <c r="A132" s="7" t="s">
        <v>315</v>
      </c>
      <c r="B132" s="7" t="s">
        <v>316</v>
      </c>
      <c r="C132" s="8">
        <v>43.787677010000003</v>
      </c>
      <c r="D132" s="8">
        <v>4.1887176699999999</v>
      </c>
      <c r="E132" s="9">
        <v>80</v>
      </c>
      <c r="F132" t="s">
        <v>53</v>
      </c>
      <c r="G132" s="10" t="s">
        <v>54</v>
      </c>
      <c r="H132" s="11">
        <v>-600</v>
      </c>
      <c r="I132" s="11">
        <v>-575</v>
      </c>
      <c r="J132" s="10" t="s">
        <v>299</v>
      </c>
      <c r="K132" s="10" t="s">
        <v>300</v>
      </c>
      <c r="L132" s="12" t="s">
        <v>309</v>
      </c>
      <c r="M132" s="10" t="s">
        <v>73</v>
      </c>
      <c r="O132" s="10" t="s">
        <v>60</v>
      </c>
      <c r="P132" s="10" t="s">
        <v>60</v>
      </c>
      <c r="Q132" s="12"/>
      <c r="S132" s="12">
        <v>572</v>
      </c>
      <c r="V132" s="10">
        <v>0</v>
      </c>
      <c r="W132" s="13">
        <v>5</v>
      </c>
      <c r="X132" s="10">
        <v>0</v>
      </c>
      <c r="AA132" s="10">
        <v>0</v>
      </c>
      <c r="AB132" s="10">
        <v>0</v>
      </c>
      <c r="AC132" s="10">
        <v>0</v>
      </c>
      <c r="AE132" s="14">
        <v>0</v>
      </c>
      <c r="AG132" s="10">
        <v>0</v>
      </c>
      <c r="AJ132" s="14">
        <v>0</v>
      </c>
      <c r="AK132" s="14">
        <v>0</v>
      </c>
      <c r="AL132" s="10">
        <v>0</v>
      </c>
      <c r="AM132" s="14">
        <v>0</v>
      </c>
      <c r="AO132" s="14">
        <v>0</v>
      </c>
      <c r="AR132" s="10">
        <v>0</v>
      </c>
      <c r="AS132" s="14">
        <v>0</v>
      </c>
      <c r="AT132" s="14">
        <v>0</v>
      </c>
      <c r="AU132" s="14">
        <v>0</v>
      </c>
      <c r="AY132" s="16" t="s">
        <v>178</v>
      </c>
    </row>
    <row r="133" spans="1:51" s="15" customFormat="1" x14ac:dyDescent="0.3">
      <c r="A133" s="7" t="s">
        <v>214</v>
      </c>
      <c r="B133" s="7" t="s">
        <v>215</v>
      </c>
      <c r="C133" s="8">
        <v>43.209379839999997</v>
      </c>
      <c r="D133" s="8">
        <v>2.3439885540000001</v>
      </c>
      <c r="E133" s="9">
        <v>129</v>
      </c>
      <c r="F133" t="s">
        <v>53</v>
      </c>
      <c r="G133" s="10" t="s">
        <v>54</v>
      </c>
      <c r="H133" s="11">
        <v>-750</v>
      </c>
      <c r="I133" s="11">
        <v>-450</v>
      </c>
      <c r="J133" s="10" t="s">
        <v>299</v>
      </c>
      <c r="K133" s="10" t="s">
        <v>300</v>
      </c>
      <c r="L133" s="12" t="s">
        <v>306</v>
      </c>
      <c r="M133" s="10" t="s">
        <v>73</v>
      </c>
      <c r="N133" s="10"/>
      <c r="O133" s="10" t="s">
        <v>60</v>
      </c>
      <c r="P133" s="10" t="s">
        <v>60</v>
      </c>
      <c r="Q133" s="12"/>
      <c r="R133" s="10"/>
      <c r="S133" s="12">
        <v>275</v>
      </c>
      <c r="T133" s="10"/>
      <c r="U133" s="10"/>
      <c r="V133" s="10">
        <v>0</v>
      </c>
      <c r="W133" s="13">
        <v>1</v>
      </c>
      <c r="X133" s="10">
        <v>0</v>
      </c>
      <c r="Y133" s="10"/>
      <c r="Z133" s="10"/>
      <c r="AA133" s="10">
        <v>0</v>
      </c>
      <c r="AB133" s="10">
        <v>0</v>
      </c>
      <c r="AC133" s="10">
        <v>0</v>
      </c>
      <c r="AD133" s="10"/>
      <c r="AE133" s="14">
        <v>0</v>
      </c>
      <c r="AF133" s="10"/>
      <c r="AG133" s="10">
        <v>0</v>
      </c>
      <c r="AH133" s="10"/>
      <c r="AI133" s="10"/>
      <c r="AJ133" s="14">
        <v>0</v>
      </c>
      <c r="AK133" s="14">
        <v>0</v>
      </c>
      <c r="AL133" s="10">
        <v>0</v>
      </c>
      <c r="AM133" s="14">
        <v>0</v>
      </c>
      <c r="AN133" s="10"/>
      <c r="AO133" s="14">
        <v>0</v>
      </c>
      <c r="AP133" s="10"/>
      <c r="AQ133" s="10"/>
      <c r="AR133" s="10">
        <v>0</v>
      </c>
      <c r="AS133" s="14">
        <v>0</v>
      </c>
      <c r="AT133" s="14">
        <v>0</v>
      </c>
      <c r="AU133" s="14">
        <v>0</v>
      </c>
      <c r="AV133" s="10"/>
      <c r="AW133"/>
      <c r="AY133" s="16" t="s">
        <v>178</v>
      </c>
    </row>
    <row r="134" spans="1:51" s="15" customFormat="1" x14ac:dyDescent="0.3">
      <c r="A134" s="7" t="s">
        <v>317</v>
      </c>
      <c r="B134" s="7" t="s">
        <v>215</v>
      </c>
      <c r="C134" s="8">
        <v>43.209379839999997</v>
      </c>
      <c r="D134" s="8">
        <v>2.3439885540000001</v>
      </c>
      <c r="E134" s="9">
        <v>129</v>
      </c>
      <c r="F134" t="s">
        <v>53</v>
      </c>
      <c r="G134" s="10" t="s">
        <v>54</v>
      </c>
      <c r="H134" s="11">
        <v>-525</v>
      </c>
      <c r="I134" s="11">
        <v>-450</v>
      </c>
      <c r="J134" s="10" t="s">
        <v>299</v>
      </c>
      <c r="K134" s="10" t="s">
        <v>300</v>
      </c>
      <c r="L134" s="12" t="s">
        <v>314</v>
      </c>
      <c r="M134" s="10" t="s">
        <v>59</v>
      </c>
      <c r="N134" s="10"/>
      <c r="O134" s="10" t="s">
        <v>60</v>
      </c>
      <c r="P134" s="10" t="s">
        <v>61</v>
      </c>
      <c r="Q134" s="17"/>
      <c r="R134" s="10"/>
      <c r="S134" s="12">
        <v>67</v>
      </c>
      <c r="T134" s="10"/>
      <c r="U134" s="10"/>
      <c r="V134" s="10">
        <v>7</v>
      </c>
      <c r="W134" s="13">
        <v>7</v>
      </c>
      <c r="X134" s="10">
        <v>0</v>
      </c>
      <c r="Y134" s="10"/>
      <c r="Z134" s="10"/>
      <c r="AA134" s="10">
        <v>0</v>
      </c>
      <c r="AB134" s="10">
        <v>0</v>
      </c>
      <c r="AC134" s="10">
        <v>0</v>
      </c>
      <c r="AD134" s="10"/>
      <c r="AE134" s="14">
        <v>0</v>
      </c>
      <c r="AF134" s="10"/>
      <c r="AG134" s="10">
        <v>0</v>
      </c>
      <c r="AH134" s="10"/>
      <c r="AI134" s="10"/>
      <c r="AJ134" s="14">
        <v>0</v>
      </c>
      <c r="AK134" s="14">
        <v>0</v>
      </c>
      <c r="AL134" s="10">
        <v>0</v>
      </c>
      <c r="AM134" s="14">
        <v>0</v>
      </c>
      <c r="AN134" s="10"/>
      <c r="AO134" s="14">
        <v>0</v>
      </c>
      <c r="AP134" s="10"/>
      <c r="AQ134" s="10"/>
      <c r="AR134" s="10">
        <v>0</v>
      </c>
      <c r="AS134" s="14">
        <v>0</v>
      </c>
      <c r="AT134" s="14">
        <v>0</v>
      </c>
      <c r="AU134" s="14">
        <v>0</v>
      </c>
      <c r="AV134" s="10"/>
      <c r="AW134"/>
      <c r="AY134" s="16" t="s">
        <v>318</v>
      </c>
    </row>
    <row r="135" spans="1:51" x14ac:dyDescent="0.3">
      <c r="A135" s="7" t="s">
        <v>319</v>
      </c>
      <c r="B135" s="7" t="s">
        <v>215</v>
      </c>
      <c r="C135" s="8">
        <v>43.209379839999997</v>
      </c>
      <c r="D135" s="8">
        <v>2.3439885540000001</v>
      </c>
      <c r="E135" s="9">
        <v>142</v>
      </c>
      <c r="F135" t="s">
        <v>53</v>
      </c>
      <c r="G135" s="10" t="s">
        <v>54</v>
      </c>
      <c r="H135" s="11">
        <v>-750</v>
      </c>
      <c r="I135" s="11">
        <v>-600</v>
      </c>
      <c r="J135" s="10" t="s">
        <v>299</v>
      </c>
      <c r="K135" s="10" t="s">
        <v>300</v>
      </c>
      <c r="L135" s="12" t="s">
        <v>306</v>
      </c>
      <c r="M135" s="10" t="s">
        <v>119</v>
      </c>
      <c r="O135" s="10" t="s">
        <v>60</v>
      </c>
      <c r="P135" s="10" t="s">
        <v>61</v>
      </c>
      <c r="Q135" s="17"/>
      <c r="S135" s="12">
        <v>21</v>
      </c>
      <c r="V135" s="10">
        <v>0</v>
      </c>
      <c r="W135" s="13">
        <v>10</v>
      </c>
      <c r="X135" s="10">
        <v>0</v>
      </c>
      <c r="AA135" s="10">
        <v>0</v>
      </c>
      <c r="AB135" s="10">
        <v>0</v>
      </c>
      <c r="AC135" s="10">
        <v>0</v>
      </c>
      <c r="AE135" s="14">
        <v>0</v>
      </c>
      <c r="AG135" s="10">
        <v>0</v>
      </c>
      <c r="AJ135" s="14">
        <v>0</v>
      </c>
      <c r="AK135" s="14">
        <v>0</v>
      </c>
      <c r="AL135" s="10">
        <v>0</v>
      </c>
      <c r="AM135" s="14">
        <v>0</v>
      </c>
      <c r="AO135" s="14">
        <v>0</v>
      </c>
      <c r="AR135" s="10">
        <v>0</v>
      </c>
      <c r="AS135" s="14">
        <v>0</v>
      </c>
      <c r="AT135" s="14">
        <v>0</v>
      </c>
      <c r="AU135" s="14">
        <v>0</v>
      </c>
      <c r="AW135" t="s">
        <v>320</v>
      </c>
      <c r="AY135" s="16" t="s">
        <v>165</v>
      </c>
    </row>
    <row r="136" spans="1:51" x14ac:dyDescent="0.3">
      <c r="A136" s="7" t="s">
        <v>146</v>
      </c>
      <c r="B136" s="7" t="s">
        <v>147</v>
      </c>
      <c r="C136" s="8">
        <v>43.323017319999998</v>
      </c>
      <c r="D136" s="8">
        <v>1.9607375250000001</v>
      </c>
      <c r="E136" s="9">
        <v>165</v>
      </c>
      <c r="F136" t="s">
        <v>53</v>
      </c>
      <c r="G136" s="10" t="s">
        <v>54</v>
      </c>
      <c r="H136" s="11">
        <v>-525</v>
      </c>
      <c r="I136" s="11">
        <v>-475</v>
      </c>
      <c r="J136" s="10" t="s">
        <v>299</v>
      </c>
      <c r="K136" s="10" t="s">
        <v>300</v>
      </c>
      <c r="L136" s="12" t="s">
        <v>306</v>
      </c>
      <c r="M136" s="10" t="s">
        <v>59</v>
      </c>
      <c r="O136" s="10" t="s">
        <v>60</v>
      </c>
      <c r="P136" s="10" t="s">
        <v>61</v>
      </c>
      <c r="Q136"/>
      <c r="S136" s="12">
        <v>10</v>
      </c>
      <c r="V136" s="10">
        <v>0</v>
      </c>
      <c r="W136" s="13">
        <v>2</v>
      </c>
      <c r="X136" s="10">
        <v>0</v>
      </c>
      <c r="AA136" s="10">
        <v>0</v>
      </c>
      <c r="AB136" s="10">
        <v>0</v>
      </c>
      <c r="AC136" s="10">
        <v>0</v>
      </c>
      <c r="AE136" s="14">
        <v>0</v>
      </c>
      <c r="AG136" s="10">
        <v>0</v>
      </c>
      <c r="AJ136" s="14">
        <v>0</v>
      </c>
      <c r="AK136" s="14">
        <v>0</v>
      </c>
      <c r="AL136" s="10">
        <v>0</v>
      </c>
      <c r="AM136" s="14">
        <v>0</v>
      </c>
      <c r="AO136" s="14">
        <v>0</v>
      </c>
      <c r="AR136" s="10">
        <v>0</v>
      </c>
      <c r="AS136" s="14">
        <v>0</v>
      </c>
      <c r="AT136" s="14">
        <v>0</v>
      </c>
      <c r="AU136" s="14">
        <v>0</v>
      </c>
      <c r="AY136" s="16" t="s">
        <v>93</v>
      </c>
    </row>
    <row r="137" spans="1:51" x14ac:dyDescent="0.3">
      <c r="A137" s="7" t="s">
        <v>217</v>
      </c>
      <c r="B137" s="7" t="s">
        <v>218</v>
      </c>
      <c r="C137" s="8">
        <v>43.638021879999997</v>
      </c>
      <c r="D137" s="8">
        <v>3.9126541600000002</v>
      </c>
      <c r="E137" s="9">
        <v>50</v>
      </c>
      <c r="F137" t="s">
        <v>53</v>
      </c>
      <c r="G137" s="10" t="s">
        <v>54</v>
      </c>
      <c r="H137" s="11">
        <v>-600</v>
      </c>
      <c r="I137" s="11">
        <v>-500</v>
      </c>
      <c r="J137" s="10" t="s">
        <v>299</v>
      </c>
      <c r="K137" s="10" t="s">
        <v>300</v>
      </c>
      <c r="L137" s="12" t="s">
        <v>309</v>
      </c>
      <c r="M137" s="10" t="s">
        <v>73</v>
      </c>
      <c r="O137" s="10" t="s">
        <v>60</v>
      </c>
      <c r="P137" s="10" t="s">
        <v>61</v>
      </c>
      <c r="Q137" s="12"/>
      <c r="S137" s="12">
        <v>31</v>
      </c>
      <c r="V137" s="10">
        <v>7</v>
      </c>
      <c r="W137" s="13">
        <v>2</v>
      </c>
      <c r="X137" s="10">
        <v>0</v>
      </c>
      <c r="AA137" s="10">
        <v>0</v>
      </c>
      <c r="AB137" s="10">
        <v>0</v>
      </c>
      <c r="AC137" s="10">
        <v>0</v>
      </c>
      <c r="AE137" s="14">
        <v>0</v>
      </c>
      <c r="AG137" s="10">
        <v>0</v>
      </c>
      <c r="AJ137" s="14">
        <v>0</v>
      </c>
      <c r="AK137" s="14">
        <v>0</v>
      </c>
      <c r="AL137" s="10">
        <v>0</v>
      </c>
      <c r="AM137" s="14">
        <v>0</v>
      </c>
      <c r="AO137" s="10">
        <v>0</v>
      </c>
      <c r="AR137" s="10">
        <v>0</v>
      </c>
      <c r="AS137" s="14">
        <v>0</v>
      </c>
      <c r="AT137" s="10">
        <v>0</v>
      </c>
      <c r="AU137" s="14">
        <v>0</v>
      </c>
      <c r="AY137" s="16" t="s">
        <v>131</v>
      </c>
    </row>
    <row r="138" spans="1:51" x14ac:dyDescent="0.3">
      <c r="A138" s="7" t="s">
        <v>217</v>
      </c>
      <c r="B138" s="7" t="s">
        <v>218</v>
      </c>
      <c r="C138" s="8">
        <v>43.638021879999997</v>
      </c>
      <c r="D138" s="8">
        <v>3.9126541600000002</v>
      </c>
      <c r="E138" s="9">
        <v>50</v>
      </c>
      <c r="F138" t="s">
        <v>53</v>
      </c>
      <c r="G138" s="10" t="s">
        <v>54</v>
      </c>
      <c r="H138" s="11">
        <v>-500</v>
      </c>
      <c r="I138" s="11">
        <v>-475</v>
      </c>
      <c r="J138" s="10" t="s">
        <v>299</v>
      </c>
      <c r="K138" s="10" t="s">
        <v>300</v>
      </c>
      <c r="L138" s="12" t="s">
        <v>314</v>
      </c>
      <c r="M138" s="10" t="s">
        <v>73</v>
      </c>
      <c r="O138" s="10" t="s">
        <v>60</v>
      </c>
      <c r="P138" s="10" t="s">
        <v>61</v>
      </c>
      <c r="Q138" s="12"/>
      <c r="S138" s="12">
        <v>22</v>
      </c>
      <c r="V138" s="10">
        <v>6</v>
      </c>
      <c r="W138" s="13">
        <v>2</v>
      </c>
      <c r="X138" s="10">
        <v>0</v>
      </c>
      <c r="AA138" s="10">
        <v>0</v>
      </c>
      <c r="AB138" s="10">
        <v>0</v>
      </c>
      <c r="AC138" s="10">
        <v>0</v>
      </c>
      <c r="AE138" s="14">
        <v>0</v>
      </c>
      <c r="AG138" s="10">
        <v>0</v>
      </c>
      <c r="AJ138" s="14">
        <v>0</v>
      </c>
      <c r="AK138" s="14">
        <v>0</v>
      </c>
      <c r="AL138" s="10">
        <v>0</v>
      </c>
      <c r="AM138" s="14">
        <v>0</v>
      </c>
      <c r="AO138" s="10">
        <v>0</v>
      </c>
      <c r="AR138" s="10">
        <v>0</v>
      </c>
      <c r="AS138" s="14">
        <v>0</v>
      </c>
      <c r="AT138" s="10">
        <v>0</v>
      </c>
      <c r="AU138" s="14">
        <v>0</v>
      </c>
      <c r="AY138" s="16" t="s">
        <v>131</v>
      </c>
    </row>
    <row r="139" spans="1:51" x14ac:dyDescent="0.3">
      <c r="A139" s="7" t="s">
        <v>219</v>
      </c>
      <c r="B139" s="7" t="s">
        <v>220</v>
      </c>
      <c r="C139" s="8">
        <v>43.168983539999999</v>
      </c>
      <c r="D139" s="8">
        <v>2.33479006</v>
      </c>
      <c r="E139" s="9">
        <v>162</v>
      </c>
      <c r="F139" t="s">
        <v>53</v>
      </c>
      <c r="G139" s="10" t="s">
        <v>54</v>
      </c>
      <c r="H139" s="11">
        <v>-525</v>
      </c>
      <c r="I139" s="11">
        <v>-500</v>
      </c>
      <c r="J139" s="10" t="s">
        <v>299</v>
      </c>
      <c r="K139" s="10" t="s">
        <v>300</v>
      </c>
      <c r="L139" s="12" t="s">
        <v>309</v>
      </c>
      <c r="M139" s="10" t="s">
        <v>77</v>
      </c>
      <c r="O139" s="10" t="s">
        <v>60</v>
      </c>
      <c r="P139" s="10" t="s">
        <v>60</v>
      </c>
      <c r="Q139" s="12"/>
      <c r="S139" s="12">
        <v>9</v>
      </c>
      <c r="V139" s="10">
        <v>1</v>
      </c>
      <c r="W139" s="13">
        <v>2</v>
      </c>
      <c r="X139" s="10">
        <v>0</v>
      </c>
      <c r="AA139" s="10">
        <v>0</v>
      </c>
      <c r="AB139" s="10">
        <v>0</v>
      </c>
      <c r="AC139" s="10">
        <v>0</v>
      </c>
      <c r="AE139" s="14">
        <v>0</v>
      </c>
      <c r="AG139" s="10">
        <v>0</v>
      </c>
      <c r="AJ139" s="14">
        <v>0</v>
      </c>
      <c r="AK139" s="14">
        <v>0</v>
      </c>
      <c r="AL139" s="10">
        <v>0</v>
      </c>
      <c r="AM139" s="14">
        <v>0</v>
      </c>
      <c r="AO139" s="14">
        <v>0</v>
      </c>
      <c r="AR139" s="10">
        <v>0</v>
      </c>
      <c r="AS139" s="14">
        <v>0</v>
      </c>
      <c r="AT139" s="14">
        <v>0</v>
      </c>
      <c r="AU139" s="14">
        <v>0</v>
      </c>
      <c r="AY139" s="16" t="s">
        <v>78</v>
      </c>
    </row>
    <row r="140" spans="1:51" x14ac:dyDescent="0.3">
      <c r="A140" s="7" t="s">
        <v>151</v>
      </c>
      <c r="B140" s="7" t="s">
        <v>152</v>
      </c>
      <c r="C140" s="8">
        <v>45.69719491</v>
      </c>
      <c r="D140" s="8">
        <v>4.1732576689999998</v>
      </c>
      <c r="E140" s="9">
        <v>347</v>
      </c>
      <c r="F140" t="s">
        <v>53</v>
      </c>
      <c r="G140" s="10" t="s">
        <v>54</v>
      </c>
      <c r="H140" s="11">
        <v>-750</v>
      </c>
      <c r="I140" s="11">
        <v>-450</v>
      </c>
      <c r="J140" s="10" t="s">
        <v>299</v>
      </c>
      <c r="K140" s="10" t="s">
        <v>300</v>
      </c>
      <c r="L140" s="12" t="s">
        <v>306</v>
      </c>
      <c r="M140" s="10" t="s">
        <v>59</v>
      </c>
      <c r="O140" s="10" t="s">
        <v>60</v>
      </c>
      <c r="P140" s="10" t="s">
        <v>61</v>
      </c>
      <c r="Q140" s="12"/>
      <c r="S140" s="12">
        <v>56</v>
      </c>
      <c r="V140" s="10">
        <v>0</v>
      </c>
      <c r="W140" s="13">
        <v>6</v>
      </c>
      <c r="X140" s="10">
        <v>0</v>
      </c>
      <c r="AA140" s="10">
        <v>0</v>
      </c>
      <c r="AB140" s="10">
        <v>0</v>
      </c>
      <c r="AC140" s="10">
        <v>0</v>
      </c>
      <c r="AE140" s="14">
        <v>0</v>
      </c>
      <c r="AG140" s="10">
        <v>0</v>
      </c>
      <c r="AJ140" s="14">
        <v>0</v>
      </c>
      <c r="AK140" s="14">
        <v>0</v>
      </c>
      <c r="AL140" s="10">
        <v>0</v>
      </c>
      <c r="AM140" s="14">
        <v>0</v>
      </c>
      <c r="AO140" s="10">
        <v>0</v>
      </c>
      <c r="AR140" s="10">
        <v>0</v>
      </c>
      <c r="AS140" s="14">
        <v>0</v>
      </c>
      <c r="AT140" s="10">
        <v>0</v>
      </c>
      <c r="AU140" s="14">
        <v>0</v>
      </c>
      <c r="AY140" s="16" t="s">
        <v>63</v>
      </c>
    </row>
    <row r="141" spans="1:51" x14ac:dyDescent="0.3">
      <c r="A141" s="7" t="s">
        <v>154</v>
      </c>
      <c r="B141" s="7" t="s">
        <v>89</v>
      </c>
      <c r="C141" s="8">
        <v>46.310407509999997</v>
      </c>
      <c r="D141" s="8">
        <v>6.2677314270000002</v>
      </c>
      <c r="E141" s="9">
        <v>418</v>
      </c>
      <c r="F141" t="s">
        <v>53</v>
      </c>
      <c r="G141" s="10" t="s">
        <v>54</v>
      </c>
      <c r="H141" s="11">
        <v>-750</v>
      </c>
      <c r="I141" s="11">
        <v>-450</v>
      </c>
      <c r="J141" s="10" t="s">
        <v>299</v>
      </c>
      <c r="K141" s="10" t="s">
        <v>300</v>
      </c>
      <c r="L141" s="12" t="s">
        <v>306</v>
      </c>
      <c r="M141" s="10" t="s">
        <v>73</v>
      </c>
      <c r="O141" s="10" t="s">
        <v>60</v>
      </c>
      <c r="P141" s="10" t="s">
        <v>61</v>
      </c>
      <c r="Q141" s="12"/>
      <c r="S141" s="12">
        <v>120</v>
      </c>
      <c r="V141" s="10">
        <v>4</v>
      </c>
      <c r="W141" s="13">
        <v>4</v>
      </c>
      <c r="X141" s="10">
        <v>0</v>
      </c>
      <c r="AA141" s="10">
        <v>0</v>
      </c>
      <c r="AB141" s="10">
        <v>0</v>
      </c>
      <c r="AC141" s="10">
        <v>0</v>
      </c>
      <c r="AE141" s="14">
        <v>0</v>
      </c>
      <c r="AG141" s="10">
        <v>0</v>
      </c>
      <c r="AJ141" s="10">
        <v>0</v>
      </c>
      <c r="AK141" s="14">
        <v>0</v>
      </c>
      <c r="AL141" s="10">
        <v>0</v>
      </c>
      <c r="AM141" s="14">
        <v>0</v>
      </c>
      <c r="AO141" s="10">
        <v>0</v>
      </c>
      <c r="AR141" s="10">
        <v>0</v>
      </c>
      <c r="AS141" s="14">
        <v>0</v>
      </c>
      <c r="AT141" s="10">
        <v>0</v>
      </c>
      <c r="AU141" s="14">
        <v>0</v>
      </c>
      <c r="AY141" s="16" t="s">
        <v>63</v>
      </c>
    </row>
    <row r="142" spans="1:51" x14ac:dyDescent="0.3">
      <c r="A142" s="24" t="s">
        <v>321</v>
      </c>
      <c r="B142" s="7" t="s">
        <v>91</v>
      </c>
      <c r="C142" s="8">
        <v>45.785649300000003</v>
      </c>
      <c r="D142" s="8">
        <v>3.115545429</v>
      </c>
      <c r="E142" s="9">
        <v>370</v>
      </c>
      <c r="F142" t="s">
        <v>53</v>
      </c>
      <c r="G142" s="10" t="s">
        <v>54</v>
      </c>
      <c r="H142" s="11">
        <v>-750</v>
      </c>
      <c r="I142" s="11">
        <v>-600</v>
      </c>
      <c r="J142" s="10" t="s">
        <v>299</v>
      </c>
      <c r="K142" s="10" t="s">
        <v>300</v>
      </c>
      <c r="L142" s="18" t="s">
        <v>311</v>
      </c>
      <c r="M142" s="10" t="s">
        <v>84</v>
      </c>
      <c r="O142" s="10" t="s">
        <v>60</v>
      </c>
      <c r="P142" s="10" t="s">
        <v>61</v>
      </c>
      <c r="Q142" s="12"/>
      <c r="S142" s="12">
        <v>5</v>
      </c>
      <c r="V142" s="10">
        <v>0</v>
      </c>
      <c r="W142" s="13">
        <v>2</v>
      </c>
      <c r="X142" s="10">
        <v>0</v>
      </c>
      <c r="AA142" s="10">
        <v>0</v>
      </c>
      <c r="AB142" s="10">
        <v>0</v>
      </c>
      <c r="AC142" s="10">
        <v>0</v>
      </c>
      <c r="AE142" s="14">
        <v>0</v>
      </c>
      <c r="AG142" s="10">
        <v>0</v>
      </c>
      <c r="AJ142" s="14">
        <v>0</v>
      </c>
      <c r="AK142" s="14">
        <v>0</v>
      </c>
      <c r="AL142" s="10">
        <v>0</v>
      </c>
      <c r="AM142" s="14">
        <v>0</v>
      </c>
      <c r="AO142" s="10">
        <v>0</v>
      </c>
      <c r="AR142" s="10">
        <v>0</v>
      </c>
      <c r="AS142" s="14">
        <v>0</v>
      </c>
      <c r="AT142" s="10">
        <v>0</v>
      </c>
      <c r="AU142" s="14">
        <v>0</v>
      </c>
      <c r="AY142" s="16" t="s">
        <v>165</v>
      </c>
    </row>
    <row r="143" spans="1:51" x14ac:dyDescent="0.3">
      <c r="A143" s="7" t="s">
        <v>322</v>
      </c>
      <c r="B143" s="7" t="s">
        <v>323</v>
      </c>
      <c r="C143" s="8">
        <v>43.569424130000002</v>
      </c>
      <c r="D143" s="8">
        <v>3.7064285360000002</v>
      </c>
      <c r="E143" s="9">
        <v>60</v>
      </c>
      <c r="F143" t="s">
        <v>53</v>
      </c>
      <c r="G143" s="10" t="s">
        <v>54</v>
      </c>
      <c r="H143" s="11">
        <v>-700</v>
      </c>
      <c r="I143" s="11">
        <v>-600</v>
      </c>
      <c r="J143" s="10" t="s">
        <v>299</v>
      </c>
      <c r="K143" s="10" t="s">
        <v>300</v>
      </c>
      <c r="L143" s="12" t="s">
        <v>324</v>
      </c>
      <c r="M143" s="10" t="s">
        <v>92</v>
      </c>
      <c r="O143" s="10" t="s">
        <v>60</v>
      </c>
      <c r="P143" s="10" t="s">
        <v>61</v>
      </c>
      <c r="Q143" s="12"/>
      <c r="S143" s="12">
        <v>122</v>
      </c>
      <c r="V143" s="10">
        <v>0</v>
      </c>
      <c r="W143" s="13">
        <v>10</v>
      </c>
      <c r="X143" s="10">
        <v>0</v>
      </c>
      <c r="AA143" s="10">
        <v>0</v>
      </c>
      <c r="AB143" s="10">
        <v>0</v>
      </c>
      <c r="AC143" s="10">
        <v>0</v>
      </c>
      <c r="AE143" s="14">
        <v>0</v>
      </c>
      <c r="AG143" s="10">
        <v>0</v>
      </c>
      <c r="AJ143" s="14">
        <v>0</v>
      </c>
      <c r="AK143" s="14">
        <v>0</v>
      </c>
      <c r="AL143" s="10">
        <v>0</v>
      </c>
      <c r="AM143" s="14">
        <v>0</v>
      </c>
      <c r="AO143" s="10">
        <v>0</v>
      </c>
      <c r="AR143" s="10">
        <v>0</v>
      </c>
      <c r="AS143" s="14">
        <v>0</v>
      </c>
      <c r="AT143" s="10">
        <v>0</v>
      </c>
      <c r="AU143" s="14">
        <v>0</v>
      </c>
      <c r="AY143" s="16" t="s">
        <v>131</v>
      </c>
    </row>
    <row r="144" spans="1:51" x14ac:dyDescent="0.3">
      <c r="A144" s="7" t="s">
        <v>325</v>
      </c>
      <c r="B144" s="7" t="s">
        <v>326</v>
      </c>
      <c r="C144" s="8">
        <v>44.733566590000002</v>
      </c>
      <c r="D144" s="8">
        <v>5.0221758410000001</v>
      </c>
      <c r="E144" s="9">
        <v>248</v>
      </c>
      <c r="F144" t="s">
        <v>53</v>
      </c>
      <c r="G144" s="10" t="s">
        <v>54</v>
      </c>
      <c r="H144" s="11">
        <v>-500</v>
      </c>
      <c r="I144" s="11">
        <v>-400</v>
      </c>
      <c r="J144" s="10" t="s">
        <v>299</v>
      </c>
      <c r="K144" s="10" t="s">
        <v>300</v>
      </c>
      <c r="L144" s="33" t="s">
        <v>309</v>
      </c>
      <c r="M144" s="10" t="s">
        <v>73</v>
      </c>
      <c r="O144" s="10" t="s">
        <v>60</v>
      </c>
      <c r="P144" s="10" t="s">
        <v>61</v>
      </c>
      <c r="Q144" s="12"/>
      <c r="S144" s="12">
        <v>76</v>
      </c>
      <c r="V144" s="10">
        <v>67</v>
      </c>
      <c r="W144" s="13">
        <v>151</v>
      </c>
      <c r="X144" s="10">
        <v>0</v>
      </c>
      <c r="AA144" s="10">
        <v>0</v>
      </c>
      <c r="AB144" s="10">
        <v>0</v>
      </c>
      <c r="AC144" s="10">
        <v>0</v>
      </c>
      <c r="AE144" s="14">
        <v>0</v>
      </c>
      <c r="AG144" s="10">
        <v>0</v>
      </c>
      <c r="AJ144" s="14">
        <v>0</v>
      </c>
      <c r="AK144" s="14">
        <v>0</v>
      </c>
      <c r="AL144" s="10">
        <v>0</v>
      </c>
      <c r="AM144" s="14">
        <v>0</v>
      </c>
      <c r="AO144" s="14">
        <v>0</v>
      </c>
      <c r="AR144" s="10">
        <v>0</v>
      </c>
      <c r="AS144" s="14">
        <v>0</v>
      </c>
      <c r="AT144" s="14">
        <v>0</v>
      </c>
      <c r="AU144" s="14">
        <v>0</v>
      </c>
      <c r="AY144" s="16" t="s">
        <v>68</v>
      </c>
    </row>
    <row r="145" spans="1:51" x14ac:dyDescent="0.3">
      <c r="A145" s="7" t="s">
        <v>327</v>
      </c>
      <c r="B145" s="7" t="s">
        <v>328</v>
      </c>
      <c r="C145" s="8">
        <v>43.351850110000001</v>
      </c>
      <c r="D145" s="8">
        <v>2.934510827</v>
      </c>
      <c r="E145" s="9">
        <v>125</v>
      </c>
      <c r="F145" t="s">
        <v>53</v>
      </c>
      <c r="G145" s="10" t="s">
        <v>54</v>
      </c>
      <c r="H145" s="11">
        <v>-750</v>
      </c>
      <c r="I145" s="11">
        <v>-450</v>
      </c>
      <c r="J145" s="10" t="s">
        <v>299</v>
      </c>
      <c r="K145" s="10" t="s">
        <v>300</v>
      </c>
      <c r="L145" s="12" t="s">
        <v>306</v>
      </c>
      <c r="M145" s="10" t="s">
        <v>73</v>
      </c>
      <c r="O145" s="10" t="s">
        <v>60</v>
      </c>
      <c r="P145" s="10" t="s">
        <v>60</v>
      </c>
      <c r="Q145" s="17"/>
      <c r="S145" s="12">
        <v>0</v>
      </c>
      <c r="V145" s="10">
        <v>0</v>
      </c>
      <c r="W145" s="13">
        <v>1</v>
      </c>
      <c r="X145" s="10">
        <v>0</v>
      </c>
      <c r="AA145" s="10">
        <v>0</v>
      </c>
      <c r="AB145" s="10">
        <v>0</v>
      </c>
      <c r="AC145" s="10">
        <v>0</v>
      </c>
      <c r="AE145" s="14">
        <v>0</v>
      </c>
      <c r="AG145" s="10">
        <v>0</v>
      </c>
      <c r="AJ145" s="14">
        <v>0</v>
      </c>
      <c r="AK145" s="14">
        <v>0</v>
      </c>
      <c r="AL145" s="10">
        <v>0</v>
      </c>
      <c r="AM145" s="14">
        <v>0</v>
      </c>
      <c r="AO145" s="10">
        <v>0</v>
      </c>
      <c r="AR145" s="10">
        <v>0</v>
      </c>
      <c r="AS145" s="14">
        <v>0</v>
      </c>
      <c r="AT145" s="10">
        <v>0</v>
      </c>
      <c r="AU145" s="14">
        <v>0</v>
      </c>
      <c r="AY145" s="16" t="s">
        <v>78</v>
      </c>
    </row>
    <row r="146" spans="1:51" x14ac:dyDescent="0.3">
      <c r="A146" s="7" t="s">
        <v>329</v>
      </c>
      <c r="B146" s="7" t="s">
        <v>330</v>
      </c>
      <c r="C146" s="8">
        <v>42.599506990000002</v>
      </c>
      <c r="D146" s="8">
        <v>2.971948276</v>
      </c>
      <c r="E146" s="9">
        <v>61</v>
      </c>
      <c r="F146" t="s">
        <v>53</v>
      </c>
      <c r="G146" s="10" t="s">
        <v>54</v>
      </c>
      <c r="H146" s="11">
        <v>-525</v>
      </c>
      <c r="I146" s="11">
        <v>-475</v>
      </c>
      <c r="J146" s="10" t="s">
        <v>299</v>
      </c>
      <c r="K146" s="10" t="s">
        <v>300</v>
      </c>
      <c r="L146" s="12" t="s">
        <v>309</v>
      </c>
      <c r="M146" s="10" t="s">
        <v>84</v>
      </c>
      <c r="O146" s="10" t="s">
        <v>60</v>
      </c>
      <c r="P146" s="10" t="s">
        <v>61</v>
      </c>
      <c r="Q146" s="12"/>
      <c r="S146" s="12">
        <v>54</v>
      </c>
      <c r="V146" s="10">
        <v>3</v>
      </c>
      <c r="W146" s="13">
        <v>3</v>
      </c>
      <c r="X146" s="10">
        <v>0</v>
      </c>
      <c r="AA146" s="10">
        <v>0</v>
      </c>
      <c r="AB146" s="10">
        <v>0</v>
      </c>
      <c r="AC146" s="10">
        <v>0</v>
      </c>
      <c r="AE146" s="14">
        <v>0</v>
      </c>
      <c r="AG146" s="10">
        <v>0</v>
      </c>
      <c r="AJ146" s="10">
        <v>0</v>
      </c>
      <c r="AK146" s="14">
        <v>0</v>
      </c>
      <c r="AL146" s="10">
        <v>0</v>
      </c>
      <c r="AM146" s="14">
        <v>0</v>
      </c>
      <c r="AO146" s="10">
        <v>0</v>
      </c>
      <c r="AR146" s="10">
        <v>0</v>
      </c>
      <c r="AS146" s="14">
        <v>0</v>
      </c>
      <c r="AT146" s="10">
        <v>0</v>
      </c>
      <c r="AU146" s="14">
        <v>0</v>
      </c>
      <c r="AY146" s="16" t="s">
        <v>85</v>
      </c>
    </row>
    <row r="147" spans="1:51" x14ac:dyDescent="0.3">
      <c r="A147" s="20" t="s">
        <v>331</v>
      </c>
      <c r="B147" s="7" t="s">
        <v>332</v>
      </c>
      <c r="C147" s="8">
        <v>46.020997970000003</v>
      </c>
      <c r="D147" s="8">
        <v>4.7620080900000001</v>
      </c>
      <c r="E147" s="9">
        <v>199</v>
      </c>
      <c r="F147" t="s">
        <v>53</v>
      </c>
      <c r="G147" s="10" t="s">
        <v>54</v>
      </c>
      <c r="H147" s="11">
        <v>-750</v>
      </c>
      <c r="I147" s="11">
        <v>-600</v>
      </c>
      <c r="J147" s="10" t="s">
        <v>299</v>
      </c>
      <c r="K147" s="10" t="s">
        <v>300</v>
      </c>
      <c r="L147" s="18" t="s">
        <v>304</v>
      </c>
      <c r="M147" s="10" t="s">
        <v>77</v>
      </c>
      <c r="O147" s="10" t="s">
        <v>60</v>
      </c>
      <c r="P147" s="10" t="s">
        <v>61</v>
      </c>
      <c r="Q147" s="17"/>
      <c r="S147" s="12">
        <v>12</v>
      </c>
      <c r="V147" s="10">
        <v>0</v>
      </c>
      <c r="W147" s="30">
        <v>1</v>
      </c>
      <c r="X147" s="10">
        <v>0</v>
      </c>
      <c r="AA147" s="10">
        <v>0</v>
      </c>
      <c r="AB147" s="10">
        <v>0</v>
      </c>
      <c r="AC147" s="10">
        <v>0</v>
      </c>
      <c r="AE147" s="14">
        <v>0</v>
      </c>
      <c r="AG147" s="14">
        <v>0</v>
      </c>
      <c r="AJ147" s="14">
        <v>0</v>
      </c>
      <c r="AK147" s="14">
        <v>0</v>
      </c>
      <c r="AL147" s="14">
        <v>0</v>
      </c>
      <c r="AM147" s="14">
        <v>0</v>
      </c>
      <c r="AO147" s="14">
        <v>0</v>
      </c>
      <c r="AR147" s="10">
        <v>0</v>
      </c>
      <c r="AS147" s="14">
        <v>0</v>
      </c>
      <c r="AT147" s="14">
        <v>0</v>
      </c>
      <c r="AU147" s="14">
        <v>0</v>
      </c>
      <c r="AY147" s="16" t="s">
        <v>63</v>
      </c>
    </row>
    <row r="148" spans="1:51" x14ac:dyDescent="0.3">
      <c r="A148" s="7" t="s">
        <v>333</v>
      </c>
      <c r="B148" s="7" t="s">
        <v>334</v>
      </c>
      <c r="C148" s="8">
        <v>43.38584728</v>
      </c>
      <c r="D148" s="8">
        <v>3.4638416799999998</v>
      </c>
      <c r="E148" s="9">
        <v>40</v>
      </c>
      <c r="F148" t="s">
        <v>53</v>
      </c>
      <c r="G148" s="10" t="s">
        <v>54</v>
      </c>
      <c r="H148" s="11">
        <v>-525</v>
      </c>
      <c r="I148" s="11">
        <v>-475</v>
      </c>
      <c r="J148" s="10" t="s">
        <v>299</v>
      </c>
      <c r="K148" s="10" t="s">
        <v>300</v>
      </c>
      <c r="L148" s="12" t="s">
        <v>309</v>
      </c>
      <c r="M148" s="10" t="s">
        <v>73</v>
      </c>
      <c r="O148" s="10" t="s">
        <v>60</v>
      </c>
      <c r="P148" s="10" t="s">
        <v>61</v>
      </c>
      <c r="Q148" s="12"/>
      <c r="S148" s="12">
        <v>68</v>
      </c>
      <c r="V148" s="10">
        <v>5</v>
      </c>
      <c r="W148" s="13">
        <v>3</v>
      </c>
      <c r="X148" s="10">
        <v>0</v>
      </c>
      <c r="AA148" s="10">
        <v>0</v>
      </c>
      <c r="AB148" s="10">
        <v>0</v>
      </c>
      <c r="AC148" s="10">
        <v>0</v>
      </c>
      <c r="AE148" s="14">
        <v>0</v>
      </c>
      <c r="AG148" s="10">
        <v>0</v>
      </c>
      <c r="AJ148" s="14">
        <v>0</v>
      </c>
      <c r="AK148" s="14">
        <v>0</v>
      </c>
      <c r="AL148" s="10">
        <v>0</v>
      </c>
      <c r="AM148" s="14">
        <v>0</v>
      </c>
      <c r="AO148" s="10">
        <v>0</v>
      </c>
      <c r="AR148" s="10">
        <v>0</v>
      </c>
      <c r="AS148" s="14">
        <v>0</v>
      </c>
      <c r="AT148" s="10">
        <v>0</v>
      </c>
      <c r="AU148" s="14">
        <v>0</v>
      </c>
      <c r="AY148" s="16" t="s">
        <v>68</v>
      </c>
    </row>
    <row r="149" spans="1:51" x14ac:dyDescent="0.3">
      <c r="A149" s="7" t="s">
        <v>335</v>
      </c>
      <c r="B149" s="7" t="s">
        <v>336</v>
      </c>
      <c r="C149" s="8">
        <v>43.846840409999999</v>
      </c>
      <c r="D149" s="8">
        <v>4.0292330329999997</v>
      </c>
      <c r="E149" s="9">
        <v>95</v>
      </c>
      <c r="F149" t="s">
        <v>53</v>
      </c>
      <c r="G149" s="10" t="s">
        <v>54</v>
      </c>
      <c r="H149" s="11">
        <v>-500</v>
      </c>
      <c r="I149" s="11">
        <v>-475</v>
      </c>
      <c r="J149" s="10" t="s">
        <v>299</v>
      </c>
      <c r="K149" s="10" t="s">
        <v>300</v>
      </c>
      <c r="L149" s="12" t="s">
        <v>309</v>
      </c>
      <c r="M149" s="10" t="s">
        <v>73</v>
      </c>
      <c r="O149" s="10" t="s">
        <v>60</v>
      </c>
      <c r="P149" s="10" t="s">
        <v>60</v>
      </c>
      <c r="Q149" s="12"/>
      <c r="S149" s="12">
        <v>557</v>
      </c>
      <c r="V149" s="10">
        <v>2</v>
      </c>
      <c r="W149" s="13">
        <v>3</v>
      </c>
      <c r="X149" s="10">
        <v>0</v>
      </c>
      <c r="AA149" s="10">
        <v>0</v>
      </c>
      <c r="AB149" s="10">
        <v>0</v>
      </c>
      <c r="AC149" s="10">
        <v>0</v>
      </c>
      <c r="AE149" s="14">
        <v>0</v>
      </c>
      <c r="AG149" s="10">
        <v>0</v>
      </c>
      <c r="AJ149" s="14">
        <v>0</v>
      </c>
      <c r="AK149" s="14">
        <v>0</v>
      </c>
      <c r="AL149" s="10">
        <v>0</v>
      </c>
      <c r="AM149" s="14">
        <v>0</v>
      </c>
      <c r="AO149" s="10">
        <v>1</v>
      </c>
      <c r="AR149" s="10">
        <v>1</v>
      </c>
      <c r="AS149" s="14">
        <v>0</v>
      </c>
      <c r="AT149" s="10">
        <v>1</v>
      </c>
      <c r="AU149" s="14">
        <v>0</v>
      </c>
      <c r="AV149" s="10" t="s">
        <v>62</v>
      </c>
      <c r="AY149" s="16" t="s">
        <v>178</v>
      </c>
    </row>
    <row r="150" spans="1:51" x14ac:dyDescent="0.3">
      <c r="A150" s="7" t="s">
        <v>337</v>
      </c>
      <c r="B150" s="7" t="s">
        <v>338</v>
      </c>
      <c r="C150" s="8">
        <v>43.239206520000003</v>
      </c>
      <c r="D150" s="8">
        <v>6.5861751860000002</v>
      </c>
      <c r="E150" s="9">
        <v>69</v>
      </c>
      <c r="F150" t="s">
        <v>53</v>
      </c>
      <c r="G150" s="10" t="s">
        <v>54</v>
      </c>
      <c r="H150" s="11">
        <v>-525</v>
      </c>
      <c r="I150" s="11">
        <v>-475</v>
      </c>
      <c r="J150" s="10" t="s">
        <v>299</v>
      </c>
      <c r="K150" s="10" t="s">
        <v>300</v>
      </c>
      <c r="L150" s="12" t="s">
        <v>309</v>
      </c>
      <c r="M150" s="10" t="s">
        <v>73</v>
      </c>
      <c r="O150" s="10" t="s">
        <v>60</v>
      </c>
      <c r="P150" s="10" t="s">
        <v>60</v>
      </c>
      <c r="Q150" s="12"/>
      <c r="S150" s="12">
        <v>733</v>
      </c>
      <c r="V150" s="10">
        <v>80</v>
      </c>
      <c r="W150" s="13">
        <v>4</v>
      </c>
      <c r="X150" s="10">
        <v>0</v>
      </c>
      <c r="AA150" s="10">
        <v>0</v>
      </c>
      <c r="AB150" s="10">
        <v>0</v>
      </c>
      <c r="AC150" s="10">
        <v>0</v>
      </c>
      <c r="AE150" s="14">
        <v>0</v>
      </c>
      <c r="AG150" s="10">
        <v>1</v>
      </c>
      <c r="AJ150" s="10">
        <v>69</v>
      </c>
      <c r="AK150" s="14">
        <v>0</v>
      </c>
      <c r="AL150" s="10">
        <v>3</v>
      </c>
      <c r="AM150" s="14">
        <v>0</v>
      </c>
      <c r="AN150" s="10" t="s">
        <v>62</v>
      </c>
      <c r="AO150" s="10">
        <v>1</v>
      </c>
      <c r="AR150" s="10">
        <v>3</v>
      </c>
      <c r="AS150" s="14">
        <v>0</v>
      </c>
      <c r="AT150" s="10">
        <v>1</v>
      </c>
      <c r="AU150" s="14">
        <v>0</v>
      </c>
      <c r="AV150" s="10" t="s">
        <v>62</v>
      </c>
      <c r="AY150" s="16" t="s">
        <v>78</v>
      </c>
    </row>
    <row r="151" spans="1:51" x14ac:dyDescent="0.3">
      <c r="A151" s="7" t="s">
        <v>339</v>
      </c>
      <c r="B151" s="7" t="s">
        <v>340</v>
      </c>
      <c r="C151" s="8">
        <v>43.867252059999998</v>
      </c>
      <c r="D151" s="8">
        <v>5.2478275940000003</v>
      </c>
      <c r="E151" s="9">
        <v>198</v>
      </c>
      <c r="F151" t="s">
        <v>53</v>
      </c>
      <c r="G151" s="10" t="s">
        <v>54</v>
      </c>
      <c r="H151" s="11">
        <v>-550</v>
      </c>
      <c r="I151" s="11">
        <v>-475</v>
      </c>
      <c r="J151" s="10" t="s">
        <v>299</v>
      </c>
      <c r="K151" s="10" t="s">
        <v>300</v>
      </c>
      <c r="L151" s="12" t="s">
        <v>309</v>
      </c>
      <c r="M151" s="10" t="s">
        <v>73</v>
      </c>
      <c r="O151" s="10" t="s">
        <v>60</v>
      </c>
      <c r="P151" s="10" t="s">
        <v>61</v>
      </c>
      <c r="Q151" s="12"/>
      <c r="S151" s="12">
        <v>1930</v>
      </c>
      <c r="V151" s="10">
        <v>0</v>
      </c>
      <c r="W151" s="13">
        <v>4</v>
      </c>
      <c r="X151" s="10">
        <v>0</v>
      </c>
      <c r="AA151" s="10">
        <v>0</v>
      </c>
      <c r="AB151" s="10">
        <v>0</v>
      </c>
      <c r="AC151" s="10">
        <v>0</v>
      </c>
      <c r="AE151" s="14">
        <v>0</v>
      </c>
      <c r="AG151" s="10">
        <v>0</v>
      </c>
      <c r="AJ151" s="10">
        <v>0</v>
      </c>
      <c r="AK151" s="14">
        <v>0</v>
      </c>
      <c r="AL151" s="10">
        <v>0</v>
      </c>
      <c r="AM151" s="14">
        <v>0</v>
      </c>
      <c r="AO151" s="10">
        <v>0</v>
      </c>
      <c r="AR151" s="10">
        <v>0</v>
      </c>
      <c r="AS151" s="14">
        <v>0</v>
      </c>
      <c r="AT151" s="10">
        <v>0</v>
      </c>
      <c r="AU151" s="14">
        <v>0</v>
      </c>
      <c r="AY151" s="16" t="s">
        <v>78</v>
      </c>
    </row>
    <row r="152" spans="1:51" x14ac:dyDescent="0.3">
      <c r="A152" s="7" t="s">
        <v>341</v>
      </c>
      <c r="B152" s="7" t="s">
        <v>101</v>
      </c>
      <c r="C152" s="8">
        <v>44.930131830000001</v>
      </c>
      <c r="D152" s="8">
        <v>4.8662960389999999</v>
      </c>
      <c r="E152" s="9">
        <v>112</v>
      </c>
      <c r="F152" t="s">
        <v>53</v>
      </c>
      <c r="G152" s="10" t="s">
        <v>54</v>
      </c>
      <c r="H152" s="11">
        <v>-800</v>
      </c>
      <c r="I152" s="11">
        <v>-700</v>
      </c>
      <c r="J152" s="10" t="s">
        <v>299</v>
      </c>
      <c r="K152" s="10" t="s">
        <v>300</v>
      </c>
      <c r="L152" s="12" t="s">
        <v>324</v>
      </c>
      <c r="M152" s="10" t="s">
        <v>59</v>
      </c>
      <c r="O152" s="10" t="s">
        <v>60</v>
      </c>
      <c r="P152" s="10" t="s">
        <v>61</v>
      </c>
      <c r="Q152"/>
      <c r="S152" s="12">
        <v>187</v>
      </c>
      <c r="V152" s="10">
        <v>35</v>
      </c>
      <c r="W152" s="13">
        <v>17</v>
      </c>
      <c r="X152" s="10">
        <v>0</v>
      </c>
      <c r="AA152" s="10">
        <v>0</v>
      </c>
      <c r="AB152" s="10">
        <v>0</v>
      </c>
      <c r="AC152" s="10">
        <v>0</v>
      </c>
      <c r="AE152" s="14">
        <v>0</v>
      </c>
      <c r="AG152" s="10">
        <v>1</v>
      </c>
      <c r="AJ152" s="10">
        <v>1</v>
      </c>
      <c r="AK152" s="14">
        <v>0</v>
      </c>
      <c r="AL152" s="10">
        <v>1</v>
      </c>
      <c r="AM152" s="14">
        <v>0</v>
      </c>
      <c r="AN152" s="10" t="s">
        <v>62</v>
      </c>
      <c r="AO152" s="14">
        <v>0</v>
      </c>
      <c r="AR152" s="10">
        <v>0</v>
      </c>
      <c r="AS152" s="14">
        <v>0</v>
      </c>
      <c r="AT152" s="14">
        <v>0</v>
      </c>
      <c r="AU152" s="14">
        <v>0</v>
      </c>
      <c r="AY152" s="16" t="s">
        <v>93</v>
      </c>
    </row>
    <row r="153" spans="1:51" x14ac:dyDescent="0.3">
      <c r="A153" s="7" t="s">
        <v>341</v>
      </c>
      <c r="B153" s="7" t="s">
        <v>101</v>
      </c>
      <c r="C153" s="8">
        <v>44.930131830000001</v>
      </c>
      <c r="D153" s="8">
        <v>4.8662960389999999</v>
      </c>
      <c r="E153" s="9">
        <v>112</v>
      </c>
      <c r="F153" t="s">
        <v>53</v>
      </c>
      <c r="G153" s="10" t="s">
        <v>54</v>
      </c>
      <c r="H153" s="11">
        <v>-600</v>
      </c>
      <c r="I153" s="11">
        <v>-400</v>
      </c>
      <c r="J153" s="10" t="s">
        <v>299</v>
      </c>
      <c r="K153" s="10" t="s">
        <v>300</v>
      </c>
      <c r="L153" s="12" t="s">
        <v>342</v>
      </c>
      <c r="M153" s="10" t="s">
        <v>59</v>
      </c>
      <c r="O153" s="10" t="s">
        <v>60</v>
      </c>
      <c r="P153" s="10" t="s">
        <v>61</v>
      </c>
      <c r="Q153"/>
      <c r="S153" s="12">
        <v>1159</v>
      </c>
      <c r="V153" s="10">
        <v>159</v>
      </c>
      <c r="W153" s="13">
        <v>14</v>
      </c>
      <c r="X153" s="10">
        <v>0</v>
      </c>
      <c r="AA153" s="10">
        <v>0</v>
      </c>
      <c r="AB153" s="10">
        <v>0</v>
      </c>
      <c r="AC153" s="10">
        <v>0</v>
      </c>
      <c r="AE153" s="14">
        <v>0</v>
      </c>
      <c r="AG153" s="10">
        <v>0</v>
      </c>
      <c r="AJ153" s="14">
        <v>0</v>
      </c>
      <c r="AK153" s="14">
        <v>0</v>
      </c>
      <c r="AL153" s="10">
        <v>0</v>
      </c>
      <c r="AM153" s="14">
        <v>0</v>
      </c>
      <c r="AO153" s="14">
        <v>0</v>
      </c>
      <c r="AR153" s="10">
        <v>0</v>
      </c>
      <c r="AS153" s="14">
        <v>0</v>
      </c>
      <c r="AT153" s="14">
        <v>0</v>
      </c>
      <c r="AU153" s="14">
        <v>0</v>
      </c>
      <c r="AY153" s="16" t="s">
        <v>93</v>
      </c>
    </row>
    <row r="154" spans="1:51" x14ac:dyDescent="0.3">
      <c r="A154" s="7" t="s">
        <v>343</v>
      </c>
      <c r="B154" s="7" t="s">
        <v>101</v>
      </c>
      <c r="C154" s="8">
        <v>44.930131830000001</v>
      </c>
      <c r="D154" s="8">
        <v>4.8662960389999999</v>
      </c>
      <c r="E154" s="9">
        <v>138</v>
      </c>
      <c r="F154" t="s">
        <v>53</v>
      </c>
      <c r="G154" s="10" t="s">
        <v>54</v>
      </c>
      <c r="H154" s="11">
        <v>-750</v>
      </c>
      <c r="I154" s="11">
        <v>-600</v>
      </c>
      <c r="J154" s="10" t="s">
        <v>299</v>
      </c>
      <c r="K154" s="10" t="s">
        <v>300</v>
      </c>
      <c r="L154" s="14" t="s">
        <v>311</v>
      </c>
      <c r="M154" s="10" t="s">
        <v>59</v>
      </c>
      <c r="O154" s="10" t="s">
        <v>60</v>
      </c>
      <c r="P154" s="10" t="s">
        <v>61</v>
      </c>
      <c r="Q154" s="17"/>
      <c r="S154" s="12">
        <v>26</v>
      </c>
      <c r="V154" s="10">
        <v>11</v>
      </c>
      <c r="W154" s="13">
        <v>11</v>
      </c>
      <c r="X154" s="10">
        <v>0</v>
      </c>
      <c r="AA154" s="10">
        <v>0</v>
      </c>
      <c r="AB154" s="10">
        <v>0</v>
      </c>
      <c r="AC154" s="10">
        <v>0</v>
      </c>
      <c r="AE154" s="14">
        <v>0</v>
      </c>
      <c r="AG154" s="10">
        <v>0</v>
      </c>
      <c r="AJ154" s="14">
        <v>0</v>
      </c>
      <c r="AK154" s="14">
        <v>0</v>
      </c>
      <c r="AL154" s="10">
        <v>0</v>
      </c>
      <c r="AM154" s="14">
        <v>0</v>
      </c>
      <c r="AO154" s="14">
        <v>0</v>
      </c>
      <c r="AR154" s="10">
        <v>0</v>
      </c>
      <c r="AS154" s="14">
        <v>0</v>
      </c>
      <c r="AT154" s="14">
        <v>0</v>
      </c>
      <c r="AU154" s="14">
        <v>0</v>
      </c>
      <c r="AY154" s="16" t="s">
        <v>93</v>
      </c>
    </row>
    <row r="155" spans="1:51" x14ac:dyDescent="0.3">
      <c r="A155" s="7" t="s">
        <v>344</v>
      </c>
      <c r="B155" s="7" t="s">
        <v>345</v>
      </c>
      <c r="C155" s="8">
        <v>43.101252109999997</v>
      </c>
      <c r="D155" s="8">
        <v>2.3863195180000001</v>
      </c>
      <c r="E155" s="9">
        <v>326</v>
      </c>
      <c r="F155" t="s">
        <v>53</v>
      </c>
      <c r="G155" s="10" t="s">
        <v>54</v>
      </c>
      <c r="H155" s="11">
        <v>-600</v>
      </c>
      <c r="I155" s="11">
        <v>-500</v>
      </c>
      <c r="J155" s="10" t="s">
        <v>299</v>
      </c>
      <c r="K155" s="10" t="s">
        <v>300</v>
      </c>
      <c r="L155" s="12" t="s">
        <v>306</v>
      </c>
      <c r="M155" s="10" t="s">
        <v>77</v>
      </c>
      <c r="O155" s="10" t="s">
        <v>60</v>
      </c>
      <c r="P155" s="10" t="s">
        <v>61</v>
      </c>
      <c r="Q155" s="17"/>
      <c r="S155" s="12">
        <v>20214</v>
      </c>
      <c r="V155" s="10">
        <v>0</v>
      </c>
      <c r="W155" s="13">
        <v>1</v>
      </c>
      <c r="X155" s="10">
        <v>0</v>
      </c>
      <c r="AA155" s="10">
        <v>0</v>
      </c>
      <c r="AB155" s="10">
        <v>0</v>
      </c>
      <c r="AC155" s="10">
        <v>0</v>
      </c>
      <c r="AE155" s="14">
        <v>0</v>
      </c>
      <c r="AG155" s="10">
        <v>0</v>
      </c>
      <c r="AJ155" s="14">
        <v>0</v>
      </c>
      <c r="AK155" s="14">
        <v>0</v>
      </c>
      <c r="AL155" s="10">
        <v>0</v>
      </c>
      <c r="AM155" s="14">
        <v>0</v>
      </c>
      <c r="AO155" s="14">
        <v>0</v>
      </c>
      <c r="AR155" s="10">
        <v>0</v>
      </c>
      <c r="AS155" s="14">
        <v>0</v>
      </c>
      <c r="AT155" s="14">
        <v>0</v>
      </c>
      <c r="AU155" s="14">
        <v>0</v>
      </c>
      <c r="AY155" s="16" t="s">
        <v>346</v>
      </c>
    </row>
    <row r="156" spans="1:51" x14ac:dyDescent="0.3">
      <c r="A156" s="7" t="s">
        <v>347</v>
      </c>
      <c r="B156" s="7" t="s">
        <v>239</v>
      </c>
      <c r="C156" s="8">
        <v>43.563859409999999</v>
      </c>
      <c r="D156" s="8">
        <v>3.9022622290000002</v>
      </c>
      <c r="E156" s="9">
        <v>7</v>
      </c>
      <c r="F156" t="s">
        <v>53</v>
      </c>
      <c r="G156" s="10" t="s">
        <v>54</v>
      </c>
      <c r="H156" s="11">
        <v>-550</v>
      </c>
      <c r="I156" s="11">
        <v>-475</v>
      </c>
      <c r="J156" s="10" t="s">
        <v>299</v>
      </c>
      <c r="K156" s="10" t="s">
        <v>300</v>
      </c>
      <c r="L156" s="12" t="s">
        <v>309</v>
      </c>
      <c r="M156" s="10" t="s">
        <v>73</v>
      </c>
      <c r="O156" s="10" t="s">
        <v>60</v>
      </c>
      <c r="P156" s="10" t="s">
        <v>61</v>
      </c>
      <c r="Q156" s="12"/>
      <c r="S156" s="12">
        <v>2229</v>
      </c>
      <c r="V156" s="10">
        <v>0</v>
      </c>
      <c r="W156" s="13">
        <v>3</v>
      </c>
      <c r="X156" s="10">
        <v>0</v>
      </c>
      <c r="AA156" s="10">
        <v>0</v>
      </c>
      <c r="AB156" s="10">
        <v>0</v>
      </c>
      <c r="AC156" s="10">
        <v>0</v>
      </c>
      <c r="AE156" s="14">
        <v>0</v>
      </c>
      <c r="AG156" s="10">
        <v>0</v>
      </c>
      <c r="AJ156" s="14">
        <v>0</v>
      </c>
      <c r="AK156" s="14">
        <v>0</v>
      </c>
      <c r="AL156" s="10">
        <v>0</v>
      </c>
      <c r="AM156" s="14">
        <v>0</v>
      </c>
      <c r="AO156" s="10">
        <v>0</v>
      </c>
      <c r="AR156" s="10">
        <v>0</v>
      </c>
      <c r="AS156" s="14">
        <v>0</v>
      </c>
      <c r="AT156" s="10">
        <v>0</v>
      </c>
      <c r="AU156" s="14">
        <v>0</v>
      </c>
      <c r="AY156" s="16" t="s">
        <v>348</v>
      </c>
    </row>
    <row r="157" spans="1:51" x14ac:dyDescent="0.3">
      <c r="A157" s="7" t="s">
        <v>349</v>
      </c>
      <c r="B157" s="7" t="s">
        <v>239</v>
      </c>
      <c r="C157" s="8">
        <v>43.563859409999999</v>
      </c>
      <c r="D157" s="8">
        <v>3.9022622290000002</v>
      </c>
      <c r="E157" s="9">
        <v>7</v>
      </c>
      <c r="F157" t="s">
        <v>53</v>
      </c>
      <c r="G157" s="10" t="s">
        <v>54</v>
      </c>
      <c r="H157" s="11">
        <v>-600</v>
      </c>
      <c r="I157" s="11">
        <v>-400</v>
      </c>
      <c r="J157" s="10" t="s">
        <v>299</v>
      </c>
      <c r="K157" s="10" t="s">
        <v>300</v>
      </c>
      <c r="L157" s="12" t="s">
        <v>314</v>
      </c>
      <c r="M157" s="10" t="s">
        <v>73</v>
      </c>
      <c r="O157" s="10" t="s">
        <v>60</v>
      </c>
      <c r="P157" s="10" t="s">
        <v>61</v>
      </c>
      <c r="Q157" s="12"/>
      <c r="S157" s="12">
        <v>12</v>
      </c>
      <c r="V157" s="10">
        <v>3</v>
      </c>
      <c r="W157" s="22">
        <v>1</v>
      </c>
      <c r="X157" s="10">
        <v>0</v>
      </c>
      <c r="AA157" s="10">
        <v>0</v>
      </c>
      <c r="AB157" s="10">
        <v>0</v>
      </c>
      <c r="AC157" s="10">
        <v>0</v>
      </c>
      <c r="AE157" s="14">
        <v>0</v>
      </c>
      <c r="AG157" s="10">
        <v>0</v>
      </c>
      <c r="AJ157" s="14">
        <v>0</v>
      </c>
      <c r="AK157" s="14">
        <v>0</v>
      </c>
      <c r="AL157" s="10">
        <v>0</v>
      </c>
      <c r="AM157" s="14">
        <v>0</v>
      </c>
      <c r="AO157" s="10">
        <v>0</v>
      </c>
      <c r="AR157" s="10">
        <v>0</v>
      </c>
      <c r="AS157" s="14">
        <v>0</v>
      </c>
      <c r="AT157" s="10">
        <v>0</v>
      </c>
      <c r="AU157" s="14">
        <v>0</v>
      </c>
      <c r="AY157" s="16" t="s">
        <v>350</v>
      </c>
    </row>
    <row r="158" spans="1:51" s="27" customFormat="1" ht="28.8" x14ac:dyDescent="0.3">
      <c r="A158" s="20" t="s">
        <v>238</v>
      </c>
      <c r="B158" s="20" t="s">
        <v>239</v>
      </c>
      <c r="C158" s="25">
        <v>43.563859409999999</v>
      </c>
      <c r="D158" s="25">
        <v>3.9022622290000002</v>
      </c>
      <c r="E158" s="26">
        <v>7</v>
      </c>
      <c r="F158" s="27" t="s">
        <v>53</v>
      </c>
      <c r="G158" s="14" t="s">
        <v>54</v>
      </c>
      <c r="H158" s="28">
        <v>-700</v>
      </c>
      <c r="I158" s="28">
        <v>-650</v>
      </c>
      <c r="J158" s="14" t="s">
        <v>299</v>
      </c>
      <c r="K158" s="14" t="s">
        <v>300</v>
      </c>
      <c r="L158" s="18" t="s">
        <v>324</v>
      </c>
      <c r="M158" s="14" t="s">
        <v>73</v>
      </c>
      <c r="N158" s="14"/>
      <c r="O158" s="14" t="s">
        <v>60</v>
      </c>
      <c r="P158" s="14" t="s">
        <v>61</v>
      </c>
      <c r="Q158" s="18"/>
      <c r="R158" s="14"/>
      <c r="S158" s="18">
        <v>635</v>
      </c>
      <c r="T158" s="14"/>
      <c r="U158" s="14"/>
      <c r="V158" s="14">
        <v>3</v>
      </c>
      <c r="W158" s="30">
        <v>8</v>
      </c>
      <c r="X158" s="14">
        <v>0</v>
      </c>
      <c r="Y158" s="14"/>
      <c r="Z158" s="14"/>
      <c r="AA158" s="14">
        <v>0</v>
      </c>
      <c r="AB158" s="14">
        <v>0</v>
      </c>
      <c r="AC158" s="14">
        <v>0</v>
      </c>
      <c r="AD158" s="14"/>
      <c r="AE158" s="14">
        <v>0</v>
      </c>
      <c r="AF158" s="14"/>
      <c r="AG158" s="14">
        <v>0</v>
      </c>
      <c r="AH158" s="14"/>
      <c r="AI158" s="14"/>
      <c r="AJ158" s="14">
        <v>0</v>
      </c>
      <c r="AK158" s="14">
        <v>0</v>
      </c>
      <c r="AL158" s="14">
        <v>0</v>
      </c>
      <c r="AM158" s="14">
        <v>0</v>
      </c>
      <c r="AN158" s="14"/>
      <c r="AO158" s="14">
        <v>0</v>
      </c>
      <c r="AP158" s="14"/>
      <c r="AQ158" s="14"/>
      <c r="AR158" s="14">
        <v>0</v>
      </c>
      <c r="AS158" s="14">
        <v>0</v>
      </c>
      <c r="AT158" s="14">
        <v>0</v>
      </c>
      <c r="AU158" s="14">
        <v>0</v>
      </c>
      <c r="AV158" s="14"/>
      <c r="AX158" s="15"/>
      <c r="AY158" s="16" t="s">
        <v>240</v>
      </c>
    </row>
    <row r="159" spans="1:51" x14ac:dyDescent="0.3">
      <c r="A159" s="7" t="s">
        <v>351</v>
      </c>
      <c r="B159" s="7" t="s">
        <v>352</v>
      </c>
      <c r="C159" s="8">
        <v>42.526358119999998</v>
      </c>
      <c r="D159" s="8">
        <v>2.8315770659999999</v>
      </c>
      <c r="E159" s="9">
        <v>121</v>
      </c>
      <c r="F159" t="s">
        <v>53</v>
      </c>
      <c r="G159" s="10" t="s">
        <v>54</v>
      </c>
      <c r="H159" s="11">
        <v>-725</v>
      </c>
      <c r="I159" s="11">
        <v>-450</v>
      </c>
      <c r="J159" s="10" t="s">
        <v>299</v>
      </c>
      <c r="K159" s="10" t="s">
        <v>300</v>
      </c>
      <c r="L159" s="12" t="s">
        <v>306</v>
      </c>
      <c r="M159" s="10" t="s">
        <v>73</v>
      </c>
      <c r="O159" s="10" t="s">
        <v>60</v>
      </c>
      <c r="P159" s="10" t="s">
        <v>61</v>
      </c>
      <c r="Q159" s="12"/>
      <c r="S159" s="12">
        <v>1</v>
      </c>
      <c r="V159" s="10">
        <v>1</v>
      </c>
      <c r="W159" s="13">
        <v>2</v>
      </c>
      <c r="X159" s="10">
        <v>0</v>
      </c>
      <c r="AA159" s="10">
        <v>0</v>
      </c>
      <c r="AB159" s="10">
        <v>0</v>
      </c>
      <c r="AC159" s="10">
        <v>0</v>
      </c>
      <c r="AE159" s="14">
        <v>0</v>
      </c>
      <c r="AG159" s="10">
        <v>0</v>
      </c>
      <c r="AJ159" s="10">
        <v>0</v>
      </c>
      <c r="AK159" s="14">
        <v>0</v>
      </c>
      <c r="AL159" s="10">
        <v>0</v>
      </c>
      <c r="AM159" s="14">
        <v>0</v>
      </c>
      <c r="AO159" s="10">
        <v>0</v>
      </c>
      <c r="AR159" s="10">
        <v>0</v>
      </c>
      <c r="AS159" s="14">
        <v>0</v>
      </c>
      <c r="AT159" s="10">
        <v>0</v>
      </c>
      <c r="AU159" s="14">
        <v>0</v>
      </c>
      <c r="AY159" s="16" t="s">
        <v>85</v>
      </c>
    </row>
    <row r="160" spans="1:51" x14ac:dyDescent="0.3">
      <c r="A160" s="7" t="s">
        <v>353</v>
      </c>
      <c r="B160" s="7" t="s">
        <v>354</v>
      </c>
      <c r="C160" s="8">
        <v>45.379075159999999</v>
      </c>
      <c r="D160" s="8">
        <v>3.28028166</v>
      </c>
      <c r="E160" s="9">
        <v>460</v>
      </c>
      <c r="F160" t="s">
        <v>53</v>
      </c>
      <c r="G160" s="10" t="s">
        <v>54</v>
      </c>
      <c r="H160" s="11">
        <v>-650</v>
      </c>
      <c r="I160" s="11">
        <v>-580</v>
      </c>
      <c r="J160" s="10" t="s">
        <v>299</v>
      </c>
      <c r="K160" s="10" t="s">
        <v>300</v>
      </c>
      <c r="L160" s="12" t="s">
        <v>309</v>
      </c>
      <c r="M160" s="10" t="s">
        <v>73</v>
      </c>
      <c r="O160" s="10" t="s">
        <v>60</v>
      </c>
      <c r="P160" s="10" t="s">
        <v>61</v>
      </c>
      <c r="Q160" s="12"/>
      <c r="S160" s="12">
        <v>4</v>
      </c>
      <c r="V160" s="10">
        <v>3</v>
      </c>
      <c r="W160" s="13">
        <v>2</v>
      </c>
      <c r="X160" s="10">
        <v>0</v>
      </c>
      <c r="AA160" s="10">
        <v>0</v>
      </c>
      <c r="AB160" s="10">
        <v>0</v>
      </c>
      <c r="AC160" s="10">
        <v>0</v>
      </c>
      <c r="AE160" s="14">
        <v>0</v>
      </c>
      <c r="AG160" s="10">
        <v>1</v>
      </c>
      <c r="AJ160" s="10">
        <v>2</v>
      </c>
      <c r="AK160" s="14">
        <v>0</v>
      </c>
      <c r="AL160" s="10">
        <v>2</v>
      </c>
      <c r="AM160" s="14">
        <v>0</v>
      </c>
      <c r="AN160" s="10" t="s">
        <v>62</v>
      </c>
      <c r="AO160" s="10">
        <v>0</v>
      </c>
      <c r="AR160" s="10">
        <v>0</v>
      </c>
      <c r="AS160" s="14">
        <v>0</v>
      </c>
      <c r="AT160" s="10">
        <v>0</v>
      </c>
      <c r="AU160" s="14">
        <v>0</v>
      </c>
      <c r="AY160" s="16" t="s">
        <v>63</v>
      </c>
    </row>
    <row r="161" spans="1:51" x14ac:dyDescent="0.3">
      <c r="A161" s="7" t="s">
        <v>355</v>
      </c>
      <c r="B161" s="7" t="s">
        <v>356</v>
      </c>
      <c r="C161" s="8">
        <v>44.444325290000002</v>
      </c>
      <c r="D161" s="8">
        <v>5.0691105360000002</v>
      </c>
      <c r="E161" s="9">
        <v>675</v>
      </c>
      <c r="F161" t="s">
        <v>53</v>
      </c>
      <c r="G161" s="10" t="s">
        <v>54</v>
      </c>
      <c r="H161" s="11">
        <v>-500</v>
      </c>
      <c r="I161" s="11">
        <v>-480</v>
      </c>
      <c r="J161" s="10" t="s">
        <v>299</v>
      </c>
      <c r="K161" s="10" t="s">
        <v>300</v>
      </c>
      <c r="L161" s="33" t="s">
        <v>309</v>
      </c>
      <c r="M161" s="10" t="s">
        <v>73</v>
      </c>
      <c r="O161" s="10" t="s">
        <v>60</v>
      </c>
      <c r="P161" s="10" t="s">
        <v>60</v>
      </c>
      <c r="Q161" s="17"/>
      <c r="S161" s="12">
        <v>13</v>
      </c>
      <c r="V161" s="10">
        <v>5</v>
      </c>
      <c r="W161" s="13">
        <v>12</v>
      </c>
      <c r="X161" s="10">
        <v>0</v>
      </c>
      <c r="AA161" s="10">
        <v>0</v>
      </c>
      <c r="AB161" s="10">
        <v>0</v>
      </c>
      <c r="AC161" s="10">
        <v>0</v>
      </c>
      <c r="AE161" s="14">
        <v>0</v>
      </c>
      <c r="AG161" s="10">
        <v>0</v>
      </c>
      <c r="AJ161" s="14">
        <v>0</v>
      </c>
      <c r="AK161" s="14">
        <v>0</v>
      </c>
      <c r="AL161" s="10">
        <v>0</v>
      </c>
      <c r="AM161" s="14">
        <v>0</v>
      </c>
      <c r="AO161" s="14">
        <v>0</v>
      </c>
      <c r="AR161" s="10">
        <v>0</v>
      </c>
      <c r="AS161" s="14">
        <v>0</v>
      </c>
      <c r="AT161" s="14">
        <v>0</v>
      </c>
      <c r="AU161" s="14">
        <v>0</v>
      </c>
      <c r="AY161" s="16" t="s">
        <v>78</v>
      </c>
    </row>
    <row r="162" spans="1:51" x14ac:dyDescent="0.3">
      <c r="A162" s="7" t="s">
        <v>242</v>
      </c>
      <c r="B162" s="7" t="s">
        <v>243</v>
      </c>
      <c r="C162" s="8">
        <v>43.450988209999998</v>
      </c>
      <c r="D162" s="8">
        <v>6.4897022120000001</v>
      </c>
      <c r="E162" s="9">
        <v>115</v>
      </c>
      <c r="F162" t="s">
        <v>53</v>
      </c>
      <c r="G162" s="10" t="s">
        <v>54</v>
      </c>
      <c r="H162" s="11">
        <v>-650</v>
      </c>
      <c r="I162" s="11">
        <v>-500</v>
      </c>
      <c r="J162" s="10" t="s">
        <v>299</v>
      </c>
      <c r="K162" s="10" t="s">
        <v>300</v>
      </c>
      <c r="L162" s="12" t="s">
        <v>309</v>
      </c>
      <c r="M162" s="10" t="s">
        <v>73</v>
      </c>
      <c r="O162" s="10" t="s">
        <v>60</v>
      </c>
      <c r="P162" s="10" t="s">
        <v>61</v>
      </c>
      <c r="Q162" s="12"/>
      <c r="S162" s="12">
        <v>201</v>
      </c>
      <c r="V162" s="10">
        <v>3</v>
      </c>
      <c r="W162" s="22">
        <v>1</v>
      </c>
      <c r="X162" s="10">
        <v>0</v>
      </c>
      <c r="AA162" s="10">
        <v>0</v>
      </c>
      <c r="AB162" s="10">
        <v>0</v>
      </c>
      <c r="AC162" s="10">
        <v>0</v>
      </c>
      <c r="AE162" s="14">
        <v>0</v>
      </c>
      <c r="AG162" s="10">
        <v>0</v>
      </c>
      <c r="AJ162" s="10">
        <v>0</v>
      </c>
      <c r="AK162" s="14">
        <v>0</v>
      </c>
      <c r="AL162" s="10">
        <v>0</v>
      </c>
      <c r="AM162" s="14">
        <v>0</v>
      </c>
      <c r="AO162" s="10">
        <v>0</v>
      </c>
      <c r="AR162" s="10">
        <v>0</v>
      </c>
      <c r="AS162" s="14">
        <v>0</v>
      </c>
      <c r="AT162" s="10">
        <v>0</v>
      </c>
      <c r="AU162" s="14">
        <v>0</v>
      </c>
      <c r="AY162" s="16" t="s">
        <v>78</v>
      </c>
    </row>
    <row r="163" spans="1:51" x14ac:dyDescent="0.3">
      <c r="A163" s="7" t="s">
        <v>357</v>
      </c>
      <c r="B163" s="7" t="s">
        <v>106</v>
      </c>
      <c r="C163" s="8">
        <v>45.781780589999997</v>
      </c>
      <c r="D163" s="8">
        <v>4.8081832779999996</v>
      </c>
      <c r="E163" s="9">
        <v>202</v>
      </c>
      <c r="F163" t="s">
        <v>53</v>
      </c>
      <c r="G163" s="10" t="s">
        <v>54</v>
      </c>
      <c r="H163" s="11">
        <v>-525</v>
      </c>
      <c r="I163" s="11">
        <v>-450</v>
      </c>
      <c r="J163" s="10" t="s">
        <v>299</v>
      </c>
      <c r="K163" s="10" t="s">
        <v>300</v>
      </c>
      <c r="L163" s="12" t="s">
        <v>309</v>
      </c>
      <c r="M163" s="10" t="s">
        <v>73</v>
      </c>
      <c r="O163" s="10" t="s">
        <v>60</v>
      </c>
      <c r="P163" s="10" t="s">
        <v>61</v>
      </c>
      <c r="Q163" s="12"/>
      <c r="S163" s="12">
        <v>42</v>
      </c>
      <c r="V163" s="10">
        <v>2</v>
      </c>
      <c r="W163" s="13">
        <v>7</v>
      </c>
      <c r="X163" s="10">
        <v>0</v>
      </c>
      <c r="AA163" s="10">
        <v>0</v>
      </c>
      <c r="AB163" s="10">
        <v>0</v>
      </c>
      <c r="AC163" s="10">
        <v>0</v>
      </c>
      <c r="AE163" s="14">
        <v>0</v>
      </c>
      <c r="AG163" s="10">
        <v>0</v>
      </c>
      <c r="AJ163" s="10">
        <v>0</v>
      </c>
      <c r="AK163" s="14">
        <v>0</v>
      </c>
      <c r="AL163" s="10">
        <v>0</v>
      </c>
      <c r="AM163" s="14">
        <v>0</v>
      </c>
      <c r="AO163" s="10">
        <v>0</v>
      </c>
      <c r="AR163" s="10">
        <v>0</v>
      </c>
      <c r="AS163" s="14">
        <v>0</v>
      </c>
      <c r="AT163" s="10">
        <v>0</v>
      </c>
      <c r="AU163" s="14">
        <v>0</v>
      </c>
      <c r="AY163" s="16" t="s">
        <v>68</v>
      </c>
    </row>
    <row r="164" spans="1:51" x14ac:dyDescent="0.3">
      <c r="A164" s="7" t="s">
        <v>244</v>
      </c>
      <c r="B164" s="7" t="s">
        <v>106</v>
      </c>
      <c r="C164" s="8">
        <v>45.781780589999997</v>
      </c>
      <c r="D164" s="8">
        <v>4.8081832779999996</v>
      </c>
      <c r="E164" s="9">
        <v>202</v>
      </c>
      <c r="F164" t="s">
        <v>53</v>
      </c>
      <c r="G164" s="10" t="s">
        <v>54</v>
      </c>
      <c r="H164" s="11">
        <v>-525</v>
      </c>
      <c r="I164" s="11">
        <v>-450</v>
      </c>
      <c r="J164" s="10" t="s">
        <v>299</v>
      </c>
      <c r="K164" s="10" t="s">
        <v>300</v>
      </c>
      <c r="L164" s="12" t="s">
        <v>309</v>
      </c>
      <c r="M164" s="10" t="s">
        <v>73</v>
      </c>
      <c r="O164" s="10" t="s">
        <v>60</v>
      </c>
      <c r="P164" s="10" t="s">
        <v>61</v>
      </c>
      <c r="Q164" s="12"/>
      <c r="S164" s="12">
        <v>144</v>
      </c>
      <c r="V164" s="10">
        <v>54</v>
      </c>
      <c r="W164" s="13">
        <v>15</v>
      </c>
      <c r="X164" s="10">
        <v>0</v>
      </c>
      <c r="AA164" s="10">
        <v>0</v>
      </c>
      <c r="AB164" s="10">
        <v>0</v>
      </c>
      <c r="AC164" s="10">
        <v>0</v>
      </c>
      <c r="AE164" s="14">
        <v>0</v>
      </c>
      <c r="AG164" s="10">
        <v>0</v>
      </c>
      <c r="AJ164" s="10">
        <v>0</v>
      </c>
      <c r="AK164" s="14">
        <v>0</v>
      </c>
      <c r="AL164" s="10">
        <v>0</v>
      </c>
      <c r="AM164" s="14">
        <v>0</v>
      </c>
      <c r="AO164" s="10">
        <v>0</v>
      </c>
      <c r="AR164" s="10">
        <v>0</v>
      </c>
      <c r="AS164" s="14">
        <v>0</v>
      </c>
      <c r="AT164" s="10">
        <v>0</v>
      </c>
      <c r="AU164" s="14">
        <v>0</v>
      </c>
      <c r="AY164" s="16" t="s">
        <v>68</v>
      </c>
    </row>
    <row r="165" spans="1:51" x14ac:dyDescent="0.3">
      <c r="A165" s="7" t="s">
        <v>358</v>
      </c>
      <c r="B165" s="7" t="s">
        <v>106</v>
      </c>
      <c r="C165" s="8">
        <v>45.781780589999997</v>
      </c>
      <c r="D165" s="8">
        <v>4.8081832779999996</v>
      </c>
      <c r="E165" s="9">
        <v>202</v>
      </c>
      <c r="F165" t="s">
        <v>53</v>
      </c>
      <c r="G165" s="10" t="s">
        <v>54</v>
      </c>
      <c r="H165" s="11">
        <v>-525</v>
      </c>
      <c r="I165" s="11">
        <v>-450</v>
      </c>
      <c r="J165" s="10" t="s">
        <v>299</v>
      </c>
      <c r="K165" s="10" t="s">
        <v>300</v>
      </c>
      <c r="L165" s="12" t="s">
        <v>309</v>
      </c>
      <c r="M165" s="10" t="s">
        <v>73</v>
      </c>
      <c r="O165" s="10" t="s">
        <v>60</v>
      </c>
      <c r="P165" s="10" t="s">
        <v>60</v>
      </c>
      <c r="Q165" s="12"/>
      <c r="S165" s="23">
        <v>2</v>
      </c>
      <c r="V165" s="10">
        <v>0</v>
      </c>
      <c r="W165" s="22">
        <v>1</v>
      </c>
      <c r="X165" s="10">
        <v>0</v>
      </c>
      <c r="AA165" s="10">
        <v>0</v>
      </c>
      <c r="AB165" s="10">
        <v>0</v>
      </c>
      <c r="AC165" s="10">
        <v>0</v>
      </c>
      <c r="AE165" s="14">
        <v>0</v>
      </c>
      <c r="AG165" s="10">
        <v>0</v>
      </c>
      <c r="AJ165" s="10">
        <v>0</v>
      </c>
      <c r="AK165" s="14">
        <v>0</v>
      </c>
      <c r="AL165" s="10">
        <v>0</v>
      </c>
      <c r="AM165" s="14">
        <v>0</v>
      </c>
      <c r="AO165" s="10">
        <v>0</v>
      </c>
      <c r="AR165" s="10">
        <v>0</v>
      </c>
      <c r="AS165" s="14">
        <v>0</v>
      </c>
      <c r="AT165" s="10">
        <v>0</v>
      </c>
      <c r="AU165" s="14">
        <v>0</v>
      </c>
      <c r="AY165" s="16" t="s">
        <v>78</v>
      </c>
    </row>
    <row r="166" spans="1:51" x14ac:dyDescent="0.3">
      <c r="A166" s="7" t="s">
        <v>107</v>
      </c>
      <c r="B166" s="7" t="s">
        <v>106</v>
      </c>
      <c r="C166" s="8">
        <v>45.781780589999997</v>
      </c>
      <c r="D166" s="8">
        <v>4.8081832779999996</v>
      </c>
      <c r="E166" s="9">
        <v>202</v>
      </c>
      <c r="F166" t="s">
        <v>53</v>
      </c>
      <c r="G166" s="10" t="s">
        <v>54</v>
      </c>
      <c r="H166" s="11">
        <v>-525</v>
      </c>
      <c r="I166" s="11">
        <v>-450</v>
      </c>
      <c r="J166" s="10" t="s">
        <v>299</v>
      </c>
      <c r="K166" s="10" t="s">
        <v>300</v>
      </c>
      <c r="L166" s="12" t="s">
        <v>309</v>
      </c>
      <c r="M166" s="10" t="s">
        <v>73</v>
      </c>
      <c r="O166" s="10" t="s">
        <v>60</v>
      </c>
      <c r="P166" s="10" t="s">
        <v>61</v>
      </c>
      <c r="Q166" s="12"/>
      <c r="S166" s="12">
        <v>16</v>
      </c>
      <c r="V166" s="10">
        <v>8</v>
      </c>
      <c r="W166" s="13">
        <v>3</v>
      </c>
      <c r="X166" s="10">
        <v>0</v>
      </c>
      <c r="AA166" s="10">
        <v>0</v>
      </c>
      <c r="AB166" s="10">
        <v>0</v>
      </c>
      <c r="AC166" s="10">
        <v>0</v>
      </c>
      <c r="AE166" s="14">
        <v>0</v>
      </c>
      <c r="AG166" s="10">
        <v>0</v>
      </c>
      <c r="AJ166" s="10">
        <v>0</v>
      </c>
      <c r="AK166" s="14">
        <v>0</v>
      </c>
      <c r="AL166" s="10">
        <v>0</v>
      </c>
      <c r="AM166" s="14">
        <v>0</v>
      </c>
      <c r="AO166" s="10">
        <v>0</v>
      </c>
      <c r="AR166" s="10">
        <v>0</v>
      </c>
      <c r="AS166" s="14">
        <v>0</v>
      </c>
      <c r="AT166" s="10">
        <v>0</v>
      </c>
      <c r="AU166" s="14">
        <v>0</v>
      </c>
      <c r="AY166" s="16" t="s">
        <v>68</v>
      </c>
    </row>
    <row r="167" spans="1:51" x14ac:dyDescent="0.3">
      <c r="A167" s="7" t="s">
        <v>359</v>
      </c>
      <c r="B167" s="7" t="s">
        <v>360</v>
      </c>
      <c r="C167" s="8">
        <v>43.480868890000004</v>
      </c>
      <c r="D167" s="8">
        <v>3.2174458929999998</v>
      </c>
      <c r="E167" s="9">
        <v>130</v>
      </c>
      <c r="F167" t="s">
        <v>53</v>
      </c>
      <c r="G167" s="10" t="s">
        <v>54</v>
      </c>
      <c r="H167" s="11">
        <v>-515</v>
      </c>
      <c r="I167" s="11">
        <v>-475</v>
      </c>
      <c r="J167" s="10" t="s">
        <v>299</v>
      </c>
      <c r="K167" s="10" t="s">
        <v>300</v>
      </c>
      <c r="L167" s="12" t="s">
        <v>309</v>
      </c>
      <c r="M167" s="10" t="s">
        <v>73</v>
      </c>
      <c r="O167" s="10" t="s">
        <v>60</v>
      </c>
      <c r="P167" s="10" t="s">
        <v>60</v>
      </c>
      <c r="Q167" s="17"/>
      <c r="S167" s="12">
        <v>19</v>
      </c>
      <c r="V167" s="10">
        <v>0</v>
      </c>
      <c r="W167" s="13">
        <v>1</v>
      </c>
      <c r="X167" s="10">
        <v>0</v>
      </c>
      <c r="AA167" s="10">
        <v>0</v>
      </c>
      <c r="AB167" s="10">
        <v>0</v>
      </c>
      <c r="AC167" s="10">
        <v>0</v>
      </c>
      <c r="AE167" s="14">
        <v>0</v>
      </c>
      <c r="AG167" s="10">
        <v>0</v>
      </c>
      <c r="AJ167" s="14">
        <v>0</v>
      </c>
      <c r="AK167" s="14">
        <v>0</v>
      </c>
      <c r="AL167" s="10">
        <v>0</v>
      </c>
      <c r="AM167" s="14">
        <v>0</v>
      </c>
      <c r="AO167" s="10">
        <v>0</v>
      </c>
      <c r="AR167" s="10">
        <v>0</v>
      </c>
      <c r="AS167" s="14">
        <v>0</v>
      </c>
      <c r="AT167" s="10">
        <v>0</v>
      </c>
      <c r="AU167" s="14">
        <v>0</v>
      </c>
      <c r="AY167" s="16" t="s">
        <v>178</v>
      </c>
    </row>
    <row r="168" spans="1:51" x14ac:dyDescent="0.3">
      <c r="A168" s="7" t="s">
        <v>361</v>
      </c>
      <c r="B168" s="7" t="s">
        <v>362</v>
      </c>
      <c r="C168" s="8">
        <v>45.810878369999998</v>
      </c>
      <c r="D168" s="8">
        <v>3.1911999</v>
      </c>
      <c r="E168" s="9">
        <v>319</v>
      </c>
      <c r="F168" t="s">
        <v>53</v>
      </c>
      <c r="G168" s="10" t="s">
        <v>54</v>
      </c>
      <c r="H168" s="11">
        <v>-750</v>
      </c>
      <c r="I168" s="11">
        <v>-500</v>
      </c>
      <c r="J168" s="10" t="s">
        <v>299</v>
      </c>
      <c r="K168" s="10" t="s">
        <v>300</v>
      </c>
      <c r="L168" s="12" t="s">
        <v>363</v>
      </c>
      <c r="M168" s="10" t="s">
        <v>73</v>
      </c>
      <c r="O168" s="10" t="s">
        <v>60</v>
      </c>
      <c r="P168" s="10" t="s">
        <v>61</v>
      </c>
      <c r="Q168" s="12"/>
      <c r="S168" s="12">
        <v>120</v>
      </c>
      <c r="V168" s="10">
        <v>26</v>
      </c>
      <c r="W168" s="13">
        <v>28</v>
      </c>
      <c r="X168" s="10">
        <v>0</v>
      </c>
      <c r="AA168" s="10">
        <v>0</v>
      </c>
      <c r="AB168" s="10">
        <v>0</v>
      </c>
      <c r="AC168" s="10">
        <v>0</v>
      </c>
      <c r="AE168" s="14">
        <v>0</v>
      </c>
      <c r="AG168" s="10">
        <v>0</v>
      </c>
      <c r="AJ168" s="14">
        <v>0</v>
      </c>
      <c r="AK168" s="14">
        <v>0</v>
      </c>
      <c r="AL168" s="10">
        <v>0</v>
      </c>
      <c r="AM168" s="14">
        <v>0</v>
      </c>
      <c r="AO168" s="10">
        <v>0</v>
      </c>
      <c r="AR168" s="10">
        <v>0</v>
      </c>
      <c r="AS168" s="14">
        <v>0</v>
      </c>
      <c r="AT168" s="10">
        <v>0</v>
      </c>
      <c r="AU168" s="14">
        <v>0</v>
      </c>
      <c r="AY168" s="16" t="s">
        <v>63</v>
      </c>
    </row>
    <row r="169" spans="1:51" x14ac:dyDescent="0.3">
      <c r="A169" s="7" t="s">
        <v>364</v>
      </c>
      <c r="B169" s="7" t="s">
        <v>365</v>
      </c>
      <c r="C169" s="8">
        <v>43.379892050000002</v>
      </c>
      <c r="D169" s="8">
        <v>5.049454023</v>
      </c>
      <c r="E169" s="9">
        <v>48</v>
      </c>
      <c r="F169" t="s">
        <v>53</v>
      </c>
      <c r="G169" s="10" t="s">
        <v>54</v>
      </c>
      <c r="H169" s="11">
        <v>-600</v>
      </c>
      <c r="I169" s="11">
        <v>-500</v>
      </c>
      <c r="J169" s="10" t="s">
        <v>299</v>
      </c>
      <c r="K169" s="10" t="s">
        <v>300</v>
      </c>
      <c r="L169" s="12" t="s">
        <v>366</v>
      </c>
      <c r="M169" s="10" t="s">
        <v>73</v>
      </c>
      <c r="O169" s="10" t="s">
        <v>60</v>
      </c>
      <c r="P169" s="10" t="s">
        <v>61</v>
      </c>
      <c r="Q169" s="17"/>
      <c r="S169" s="12">
        <v>2</v>
      </c>
      <c r="V169" s="10">
        <v>1</v>
      </c>
      <c r="W169" s="13">
        <v>11</v>
      </c>
      <c r="X169" s="10">
        <v>0</v>
      </c>
      <c r="AA169" s="10">
        <v>0</v>
      </c>
      <c r="AB169" s="10">
        <v>0</v>
      </c>
      <c r="AC169" s="10">
        <v>0</v>
      </c>
      <c r="AE169" s="14">
        <v>0</v>
      </c>
      <c r="AG169" s="10">
        <v>0</v>
      </c>
      <c r="AJ169" s="14">
        <v>0</v>
      </c>
      <c r="AK169" s="14">
        <v>0</v>
      </c>
      <c r="AL169" s="10">
        <v>0</v>
      </c>
      <c r="AM169" s="14">
        <v>0</v>
      </c>
      <c r="AO169" s="14">
        <v>0</v>
      </c>
      <c r="AR169" s="10">
        <v>0</v>
      </c>
      <c r="AS169" s="14">
        <v>0</v>
      </c>
      <c r="AT169" s="14">
        <v>0</v>
      </c>
      <c r="AU169" s="14">
        <v>0</v>
      </c>
      <c r="AY169" s="16" t="s">
        <v>68</v>
      </c>
    </row>
    <row r="170" spans="1:51" x14ac:dyDescent="0.3">
      <c r="A170" s="7" t="s">
        <v>367</v>
      </c>
      <c r="B170" s="7" t="s">
        <v>365</v>
      </c>
      <c r="C170" s="8">
        <v>43.379892050000002</v>
      </c>
      <c r="D170" s="8">
        <v>5.049454023</v>
      </c>
      <c r="E170" s="9">
        <v>130</v>
      </c>
      <c r="F170" t="s">
        <v>53</v>
      </c>
      <c r="G170" s="10" t="s">
        <v>54</v>
      </c>
      <c r="H170" s="11">
        <v>-600</v>
      </c>
      <c r="I170" s="11">
        <v>-500</v>
      </c>
      <c r="J170" s="10" t="s">
        <v>299</v>
      </c>
      <c r="K170" s="10" t="s">
        <v>300</v>
      </c>
      <c r="L170" s="12" t="s">
        <v>309</v>
      </c>
      <c r="M170" s="10" t="s">
        <v>73</v>
      </c>
      <c r="O170" s="10" t="s">
        <v>60</v>
      </c>
      <c r="P170" s="10" t="s">
        <v>61</v>
      </c>
      <c r="Q170" s="17"/>
      <c r="S170" s="12">
        <v>20</v>
      </c>
      <c r="V170" s="10">
        <v>2</v>
      </c>
      <c r="W170" s="13">
        <v>1</v>
      </c>
      <c r="X170" s="10">
        <v>0</v>
      </c>
      <c r="AA170" s="10">
        <v>0</v>
      </c>
      <c r="AB170" s="10">
        <v>0</v>
      </c>
      <c r="AC170" s="10">
        <v>0</v>
      </c>
      <c r="AE170" s="14">
        <v>0</v>
      </c>
      <c r="AG170" s="10">
        <v>0</v>
      </c>
      <c r="AJ170" s="14">
        <v>0</v>
      </c>
      <c r="AK170" s="14">
        <v>0</v>
      </c>
      <c r="AL170" s="10">
        <v>0</v>
      </c>
      <c r="AM170" s="14">
        <v>0</v>
      </c>
      <c r="AO170" s="14">
        <v>0</v>
      </c>
      <c r="AR170" s="10">
        <v>0</v>
      </c>
      <c r="AS170" s="14">
        <v>0</v>
      </c>
      <c r="AT170" s="14">
        <v>0</v>
      </c>
      <c r="AU170" s="14">
        <v>0</v>
      </c>
      <c r="AY170" s="16" t="s">
        <v>68</v>
      </c>
    </row>
    <row r="171" spans="1:51" x14ac:dyDescent="0.3">
      <c r="A171" s="7" t="s">
        <v>368</v>
      </c>
      <c r="B171" s="7" t="s">
        <v>369</v>
      </c>
      <c r="C171" s="8">
        <v>44.242984389999997</v>
      </c>
      <c r="D171" s="8">
        <v>4.7245737710000002</v>
      </c>
      <c r="E171" s="9">
        <v>83</v>
      </c>
      <c r="F171" t="s">
        <v>53</v>
      </c>
      <c r="G171" s="10" t="s">
        <v>54</v>
      </c>
      <c r="H171" s="11">
        <v>-750</v>
      </c>
      <c r="I171" s="11">
        <v>-625</v>
      </c>
      <c r="J171" s="10" t="s">
        <v>299</v>
      </c>
      <c r="K171" s="10" t="s">
        <v>300</v>
      </c>
      <c r="L171" s="12" t="s">
        <v>324</v>
      </c>
      <c r="M171" s="10" t="s">
        <v>73</v>
      </c>
      <c r="O171" s="10" t="s">
        <v>60</v>
      </c>
      <c r="P171" s="10" t="s">
        <v>61</v>
      </c>
      <c r="Q171" s="12"/>
      <c r="S171" s="12">
        <v>13</v>
      </c>
      <c r="V171" s="10">
        <v>2</v>
      </c>
      <c r="W171" s="13">
        <v>8</v>
      </c>
      <c r="X171" s="10">
        <v>0</v>
      </c>
      <c r="AA171" s="10">
        <v>0</v>
      </c>
      <c r="AB171" s="10">
        <v>0</v>
      </c>
      <c r="AC171" s="10">
        <v>0</v>
      </c>
      <c r="AE171" s="14">
        <v>0</v>
      </c>
      <c r="AG171" s="10">
        <v>1</v>
      </c>
      <c r="AJ171" s="10">
        <v>1</v>
      </c>
      <c r="AK171" s="14">
        <v>0</v>
      </c>
      <c r="AL171" s="10">
        <v>0</v>
      </c>
      <c r="AM171" s="14">
        <v>0</v>
      </c>
      <c r="AN171" s="10" t="s">
        <v>62</v>
      </c>
      <c r="AO171" s="10">
        <v>0</v>
      </c>
      <c r="AR171" s="10">
        <v>0</v>
      </c>
      <c r="AS171" s="14">
        <v>0</v>
      </c>
      <c r="AT171" s="10">
        <v>0</v>
      </c>
      <c r="AU171" s="14">
        <v>0</v>
      </c>
      <c r="AY171" s="16" t="s">
        <v>68</v>
      </c>
    </row>
    <row r="172" spans="1:51" x14ac:dyDescent="0.3">
      <c r="A172" s="7" t="s">
        <v>248</v>
      </c>
      <c r="B172" s="7" t="s">
        <v>249</v>
      </c>
      <c r="C172" s="8">
        <v>45.799449019999997</v>
      </c>
      <c r="D172" s="8">
        <v>5.4642860889999998</v>
      </c>
      <c r="E172" s="9">
        <v>379</v>
      </c>
      <c r="F172" t="s">
        <v>53</v>
      </c>
      <c r="G172" s="10" t="s">
        <v>54</v>
      </c>
      <c r="H172" s="11">
        <v>-800</v>
      </c>
      <c r="I172" s="11">
        <v>-700</v>
      </c>
      <c r="J172" s="10" t="s">
        <v>299</v>
      </c>
      <c r="K172" s="10" t="s">
        <v>300</v>
      </c>
      <c r="L172" s="18" t="s">
        <v>304</v>
      </c>
      <c r="M172" s="10" t="s">
        <v>77</v>
      </c>
      <c r="O172" s="10" t="s">
        <v>60</v>
      </c>
      <c r="P172" s="10" t="s">
        <v>61</v>
      </c>
      <c r="Q172" s="17"/>
      <c r="S172" s="12">
        <v>293</v>
      </c>
      <c r="V172" s="10">
        <v>5</v>
      </c>
      <c r="W172" s="13">
        <v>1</v>
      </c>
      <c r="X172" s="10">
        <v>0</v>
      </c>
      <c r="AA172" s="10">
        <v>0</v>
      </c>
      <c r="AB172" s="10">
        <v>0</v>
      </c>
      <c r="AC172" s="10">
        <v>0</v>
      </c>
      <c r="AE172" s="14">
        <v>0</v>
      </c>
      <c r="AG172" s="14">
        <v>0</v>
      </c>
      <c r="AJ172" s="14">
        <v>0</v>
      </c>
      <c r="AK172" s="14">
        <v>0</v>
      </c>
      <c r="AL172" s="14">
        <v>0</v>
      </c>
      <c r="AM172" s="14">
        <v>0</v>
      </c>
      <c r="AO172" s="14">
        <v>0</v>
      </c>
      <c r="AR172" s="10">
        <v>0</v>
      </c>
      <c r="AS172" s="14">
        <v>0</v>
      </c>
      <c r="AT172" s="14">
        <v>0</v>
      </c>
      <c r="AU172" s="14">
        <v>0</v>
      </c>
      <c r="AY172" s="16" t="s">
        <v>78</v>
      </c>
    </row>
    <row r="173" spans="1:51" x14ac:dyDescent="0.3">
      <c r="A173" s="7" t="s">
        <v>370</v>
      </c>
      <c r="B173" s="7" t="s">
        <v>249</v>
      </c>
      <c r="C173" s="8">
        <v>45.799449019999997</v>
      </c>
      <c r="D173" s="8">
        <v>5.4642860889999998</v>
      </c>
      <c r="E173" s="9">
        <v>379</v>
      </c>
      <c r="F173" t="s">
        <v>53</v>
      </c>
      <c r="G173" s="10" t="s">
        <v>54</v>
      </c>
      <c r="H173" s="11">
        <v>-750</v>
      </c>
      <c r="I173" s="11">
        <v>-450</v>
      </c>
      <c r="J173" s="10" t="s">
        <v>299</v>
      </c>
      <c r="K173" s="10" t="s">
        <v>300</v>
      </c>
      <c r="L173" s="12" t="s">
        <v>309</v>
      </c>
      <c r="M173" s="10" t="s">
        <v>67</v>
      </c>
      <c r="O173" s="10" t="s">
        <v>60</v>
      </c>
      <c r="P173" s="10" t="s">
        <v>61</v>
      </c>
      <c r="Q173" s="17"/>
      <c r="S173" s="12">
        <v>8568</v>
      </c>
      <c r="V173" s="10">
        <v>4396</v>
      </c>
      <c r="W173" s="13">
        <v>1</v>
      </c>
      <c r="X173" s="10">
        <v>1</v>
      </c>
      <c r="AA173" s="10">
        <v>0</v>
      </c>
      <c r="AB173" s="10">
        <v>1</v>
      </c>
      <c r="AC173" s="10">
        <v>1</v>
      </c>
      <c r="AE173" s="14">
        <v>0</v>
      </c>
      <c r="AG173" s="14">
        <v>0</v>
      </c>
      <c r="AJ173" s="14">
        <v>0</v>
      </c>
      <c r="AK173" s="14">
        <v>0</v>
      </c>
      <c r="AL173" s="14">
        <v>0</v>
      </c>
      <c r="AM173" s="14">
        <v>0</v>
      </c>
      <c r="AO173" s="14">
        <v>0</v>
      </c>
      <c r="AR173" s="10">
        <v>0</v>
      </c>
      <c r="AS173" s="14">
        <v>0</v>
      </c>
      <c r="AT173" s="14">
        <v>0</v>
      </c>
      <c r="AU173" s="14">
        <v>0</v>
      </c>
      <c r="AY173" s="16" t="s">
        <v>371</v>
      </c>
    </row>
    <row r="174" spans="1:51" x14ac:dyDescent="0.3">
      <c r="A174" s="24" t="s">
        <v>372</v>
      </c>
      <c r="B174" s="7" t="s">
        <v>373</v>
      </c>
      <c r="C174" s="8">
        <v>43.850225680000001</v>
      </c>
      <c r="D174" s="8">
        <v>1.866315543</v>
      </c>
      <c r="E174" s="9">
        <v>149</v>
      </c>
      <c r="F174" t="s">
        <v>53</v>
      </c>
      <c r="G174" s="10" t="s">
        <v>54</v>
      </c>
      <c r="H174" s="11">
        <v>-675</v>
      </c>
      <c r="I174" s="11">
        <v>-575</v>
      </c>
      <c r="J174" s="10" t="s">
        <v>299</v>
      </c>
      <c r="K174" s="10" t="s">
        <v>300</v>
      </c>
      <c r="L174" s="14" t="s">
        <v>311</v>
      </c>
      <c r="M174" s="10" t="s">
        <v>73</v>
      </c>
      <c r="O174" s="10" t="s">
        <v>60</v>
      </c>
      <c r="P174" s="10" t="s">
        <v>61</v>
      </c>
      <c r="Q174" s="12"/>
      <c r="S174" s="12">
        <v>1843</v>
      </c>
      <c r="V174" s="10">
        <v>6</v>
      </c>
      <c r="W174" s="13">
        <v>8</v>
      </c>
      <c r="X174" s="10">
        <v>0</v>
      </c>
      <c r="AA174" s="10">
        <v>0</v>
      </c>
      <c r="AB174" s="10">
        <v>0</v>
      </c>
      <c r="AC174" s="10">
        <v>0</v>
      </c>
      <c r="AE174" s="14">
        <v>0</v>
      </c>
      <c r="AG174" s="10">
        <v>1</v>
      </c>
      <c r="AJ174" s="10">
        <v>1</v>
      </c>
      <c r="AK174" s="14">
        <v>0</v>
      </c>
      <c r="AL174" s="10">
        <v>0</v>
      </c>
      <c r="AM174" s="14">
        <v>0</v>
      </c>
      <c r="AN174" s="10" t="s">
        <v>62</v>
      </c>
      <c r="AO174" s="10">
        <v>0</v>
      </c>
      <c r="AR174" s="10">
        <v>0</v>
      </c>
      <c r="AS174" s="14">
        <v>0</v>
      </c>
      <c r="AT174" s="10">
        <v>0</v>
      </c>
      <c r="AU174" s="14">
        <v>0</v>
      </c>
      <c r="AY174" s="16" t="s">
        <v>165</v>
      </c>
    </row>
    <row r="175" spans="1:51" x14ac:dyDescent="0.3">
      <c r="A175" s="7" t="s">
        <v>374</v>
      </c>
      <c r="B175" s="7" t="s">
        <v>373</v>
      </c>
      <c r="C175" s="8">
        <v>43.850225680000001</v>
      </c>
      <c r="D175" s="8">
        <v>1.866315543</v>
      </c>
      <c r="E175" s="9">
        <v>158</v>
      </c>
      <c r="F175" t="s">
        <v>53</v>
      </c>
      <c r="G175" s="10" t="s">
        <v>54</v>
      </c>
      <c r="H175" s="11">
        <v>-700</v>
      </c>
      <c r="I175" s="11">
        <v>-600</v>
      </c>
      <c r="J175" s="10" t="s">
        <v>299</v>
      </c>
      <c r="K175" s="10" t="s">
        <v>300</v>
      </c>
      <c r="L175" s="12" t="s">
        <v>324</v>
      </c>
      <c r="M175" s="10" t="s">
        <v>119</v>
      </c>
      <c r="O175" s="10" t="s">
        <v>60</v>
      </c>
      <c r="P175" s="10" t="s">
        <v>61</v>
      </c>
      <c r="Q175" s="12"/>
      <c r="S175" s="12">
        <v>694</v>
      </c>
      <c r="V175" s="10">
        <v>184</v>
      </c>
      <c r="W175" s="13">
        <v>1</v>
      </c>
      <c r="X175" s="10">
        <v>0</v>
      </c>
      <c r="AA175" s="10">
        <v>0</v>
      </c>
      <c r="AB175" s="10">
        <v>0</v>
      </c>
      <c r="AC175" s="10">
        <v>0</v>
      </c>
      <c r="AE175" s="14">
        <v>0</v>
      </c>
      <c r="AG175" s="10">
        <v>0</v>
      </c>
      <c r="AJ175" s="10">
        <v>0</v>
      </c>
      <c r="AK175" s="14">
        <v>0</v>
      </c>
      <c r="AL175" s="10">
        <v>0</v>
      </c>
      <c r="AM175" s="14">
        <v>0</v>
      </c>
      <c r="AO175" s="10">
        <v>0</v>
      </c>
      <c r="AR175" s="10">
        <v>0</v>
      </c>
      <c r="AS175" s="14">
        <v>0</v>
      </c>
      <c r="AT175" s="10">
        <v>0</v>
      </c>
      <c r="AU175" s="14">
        <v>0</v>
      </c>
      <c r="AW175" t="s">
        <v>120</v>
      </c>
      <c r="AY175" s="16" t="s">
        <v>78</v>
      </c>
    </row>
    <row r="176" spans="1:51" x14ac:dyDescent="0.3">
      <c r="A176" s="7" t="s">
        <v>172</v>
      </c>
      <c r="B176" s="7" t="s">
        <v>173</v>
      </c>
      <c r="C176" s="8">
        <v>44.554084570000001</v>
      </c>
      <c r="D176" s="8">
        <v>4.7486938780000001</v>
      </c>
      <c r="E176" s="9">
        <v>93</v>
      </c>
      <c r="F176" t="s">
        <v>53</v>
      </c>
      <c r="G176" s="10" t="s">
        <v>54</v>
      </c>
      <c r="H176" s="11">
        <v>-750</v>
      </c>
      <c r="I176" s="11">
        <v>-600</v>
      </c>
      <c r="J176" s="10" t="s">
        <v>299</v>
      </c>
      <c r="K176" s="10" t="s">
        <v>300</v>
      </c>
      <c r="L176" s="12" t="s">
        <v>375</v>
      </c>
      <c r="M176" s="10" t="s">
        <v>59</v>
      </c>
      <c r="O176" s="10" t="s">
        <v>60</v>
      </c>
      <c r="P176" s="10" t="s">
        <v>61</v>
      </c>
      <c r="Q176" s="12"/>
      <c r="S176" s="12">
        <v>27</v>
      </c>
      <c r="V176" s="10">
        <v>2</v>
      </c>
      <c r="W176" s="13">
        <v>5</v>
      </c>
      <c r="X176" s="10">
        <v>0</v>
      </c>
      <c r="AA176" s="10">
        <v>0</v>
      </c>
      <c r="AB176" s="10">
        <v>0</v>
      </c>
      <c r="AC176" s="10">
        <v>0</v>
      </c>
      <c r="AE176" s="14">
        <v>0</v>
      </c>
      <c r="AG176" s="10">
        <v>1</v>
      </c>
      <c r="AJ176" s="10">
        <v>2</v>
      </c>
      <c r="AK176" s="14">
        <v>0</v>
      </c>
      <c r="AL176" s="10">
        <v>2</v>
      </c>
      <c r="AM176" s="14">
        <v>0</v>
      </c>
      <c r="AN176" s="10" t="s">
        <v>62</v>
      </c>
      <c r="AO176" s="14">
        <v>0</v>
      </c>
      <c r="AR176" s="10">
        <v>0</v>
      </c>
      <c r="AS176" s="14">
        <v>0</v>
      </c>
      <c r="AT176" s="14">
        <v>0</v>
      </c>
      <c r="AU176" s="14">
        <v>0</v>
      </c>
      <c r="AY176" s="16" t="s">
        <v>63</v>
      </c>
    </row>
    <row r="177" spans="1:51" x14ac:dyDescent="0.3">
      <c r="A177" s="7" t="s">
        <v>376</v>
      </c>
      <c r="B177" s="7" t="s">
        <v>377</v>
      </c>
      <c r="C177" s="8">
        <v>43.903047129999997</v>
      </c>
      <c r="D177" s="8">
        <v>4.1173308080000002</v>
      </c>
      <c r="E177" s="9">
        <v>195</v>
      </c>
      <c r="F177" t="s">
        <v>53</v>
      </c>
      <c r="G177" s="10" t="s">
        <v>54</v>
      </c>
      <c r="H177" s="11">
        <v>-525</v>
      </c>
      <c r="I177" s="11">
        <v>-450</v>
      </c>
      <c r="J177" s="10" t="s">
        <v>299</v>
      </c>
      <c r="K177" s="10" t="s">
        <v>300</v>
      </c>
      <c r="L177" s="12" t="s">
        <v>314</v>
      </c>
      <c r="M177" s="10" t="s">
        <v>73</v>
      </c>
      <c r="O177" s="10" t="s">
        <v>60</v>
      </c>
      <c r="P177" s="10" t="s">
        <v>60</v>
      </c>
      <c r="Q177" s="12"/>
      <c r="S177" s="12">
        <v>17561</v>
      </c>
      <c r="V177" s="10">
        <v>8</v>
      </c>
      <c r="W177" s="13">
        <v>3</v>
      </c>
      <c r="X177" s="10">
        <v>1</v>
      </c>
      <c r="AA177" s="10">
        <v>2</v>
      </c>
      <c r="AB177" s="10">
        <v>3</v>
      </c>
      <c r="AC177" s="10">
        <v>2</v>
      </c>
      <c r="AE177" s="14">
        <v>0</v>
      </c>
      <c r="AG177" s="10">
        <v>0</v>
      </c>
      <c r="AJ177" s="14">
        <v>0</v>
      </c>
      <c r="AK177" s="14">
        <v>0</v>
      </c>
      <c r="AL177" s="10">
        <v>0</v>
      </c>
      <c r="AM177" s="14">
        <v>0</v>
      </c>
      <c r="AO177" s="10">
        <v>0</v>
      </c>
      <c r="AR177" s="10">
        <v>0</v>
      </c>
      <c r="AS177" s="14">
        <v>0</v>
      </c>
      <c r="AT177" s="10">
        <v>0</v>
      </c>
      <c r="AU177" s="14">
        <v>0</v>
      </c>
      <c r="AY177" s="16" t="s">
        <v>78</v>
      </c>
    </row>
    <row r="178" spans="1:51" x14ac:dyDescent="0.3">
      <c r="A178" s="7" t="s">
        <v>378</v>
      </c>
      <c r="B178" s="7" t="s">
        <v>109</v>
      </c>
      <c r="C178" s="8">
        <v>43.613440910000001</v>
      </c>
      <c r="D178" s="8">
        <v>3.868516579</v>
      </c>
      <c r="E178" s="9">
        <v>45</v>
      </c>
      <c r="F178" t="s">
        <v>53</v>
      </c>
      <c r="G178" s="10" t="s">
        <v>54</v>
      </c>
      <c r="H178" s="11">
        <v>-700</v>
      </c>
      <c r="I178" s="11">
        <v>-600</v>
      </c>
      <c r="J178" s="10" t="s">
        <v>299</v>
      </c>
      <c r="K178" s="10" t="s">
        <v>300</v>
      </c>
      <c r="L178" s="12" t="s">
        <v>324</v>
      </c>
      <c r="M178" s="10" t="s">
        <v>73</v>
      </c>
      <c r="O178" s="10" t="s">
        <v>60</v>
      </c>
      <c r="P178" s="10" t="s">
        <v>60</v>
      </c>
      <c r="Q178" s="17"/>
      <c r="S178" s="12">
        <v>3</v>
      </c>
      <c r="V178" s="10">
        <v>0</v>
      </c>
      <c r="W178" s="13">
        <v>1</v>
      </c>
      <c r="X178" s="10">
        <v>0</v>
      </c>
      <c r="AA178" s="10">
        <v>0</v>
      </c>
      <c r="AB178" s="10">
        <v>0</v>
      </c>
      <c r="AC178" s="10">
        <v>0</v>
      </c>
      <c r="AE178" s="14">
        <v>0</v>
      </c>
      <c r="AG178" s="10">
        <v>0</v>
      </c>
      <c r="AJ178" s="14">
        <v>0</v>
      </c>
      <c r="AK178" s="14">
        <v>0</v>
      </c>
      <c r="AL178" s="10">
        <v>0</v>
      </c>
      <c r="AM178" s="14">
        <v>0</v>
      </c>
      <c r="AO178" s="10">
        <v>0</v>
      </c>
      <c r="AR178" s="10">
        <v>0</v>
      </c>
      <c r="AS178" s="14">
        <v>0</v>
      </c>
      <c r="AT178" s="10">
        <v>0</v>
      </c>
      <c r="AU178" s="14">
        <v>0</v>
      </c>
      <c r="AY178" s="16" t="s">
        <v>178</v>
      </c>
    </row>
    <row r="179" spans="1:51" x14ac:dyDescent="0.3">
      <c r="A179" s="7" t="s">
        <v>379</v>
      </c>
      <c r="B179" s="7" t="s">
        <v>180</v>
      </c>
      <c r="C179" s="8">
        <v>43.844938390000003</v>
      </c>
      <c r="D179" s="8">
        <v>4.3480679699999998</v>
      </c>
      <c r="E179" s="9">
        <v>102</v>
      </c>
      <c r="F179" t="s">
        <v>53</v>
      </c>
      <c r="G179" s="10" t="s">
        <v>54</v>
      </c>
      <c r="H179" s="11">
        <v>-750</v>
      </c>
      <c r="I179" s="11">
        <v>-625</v>
      </c>
      <c r="J179" s="10" t="s">
        <v>299</v>
      </c>
      <c r="K179" s="10" t="s">
        <v>300</v>
      </c>
      <c r="L179" s="12" t="s">
        <v>324</v>
      </c>
      <c r="M179" s="10" t="s">
        <v>73</v>
      </c>
      <c r="O179" s="10" t="s">
        <v>60</v>
      </c>
      <c r="P179" s="10" t="s">
        <v>61</v>
      </c>
      <c r="Q179" s="12"/>
      <c r="S179" s="12">
        <v>7</v>
      </c>
      <c r="V179" s="10">
        <v>27</v>
      </c>
      <c r="W179" s="13">
        <v>3</v>
      </c>
      <c r="X179" s="10">
        <v>0</v>
      </c>
      <c r="AA179" s="10">
        <v>0</v>
      </c>
      <c r="AB179" s="10">
        <v>0</v>
      </c>
      <c r="AC179" s="10">
        <v>0</v>
      </c>
      <c r="AE179" s="14">
        <v>0</v>
      </c>
      <c r="AG179" s="10">
        <v>0</v>
      </c>
      <c r="AJ179" s="14">
        <v>0</v>
      </c>
      <c r="AK179" s="14">
        <v>0</v>
      </c>
      <c r="AL179" s="10">
        <v>0</v>
      </c>
      <c r="AM179" s="14">
        <v>0</v>
      </c>
      <c r="AO179" s="10">
        <v>0</v>
      </c>
      <c r="AR179" s="10">
        <v>0</v>
      </c>
      <c r="AS179" s="14">
        <v>0</v>
      </c>
      <c r="AT179" s="10">
        <v>0</v>
      </c>
      <c r="AU179" s="14">
        <v>0</v>
      </c>
      <c r="AY179" s="16" t="s">
        <v>68</v>
      </c>
    </row>
    <row r="180" spans="1:51" x14ac:dyDescent="0.3">
      <c r="A180" s="7" t="s">
        <v>179</v>
      </c>
      <c r="B180" s="7" t="s">
        <v>180</v>
      </c>
      <c r="C180" s="8">
        <v>43.844938390000003</v>
      </c>
      <c r="D180" s="8">
        <v>4.3480679699999998</v>
      </c>
      <c r="E180" s="9">
        <v>28</v>
      </c>
      <c r="F180" t="s">
        <v>53</v>
      </c>
      <c r="G180" s="10" t="s">
        <v>54</v>
      </c>
      <c r="H180" s="11">
        <v>-750</v>
      </c>
      <c r="I180" s="11">
        <v>-450</v>
      </c>
      <c r="J180" s="10" t="s">
        <v>299</v>
      </c>
      <c r="K180" s="10" t="s">
        <v>300</v>
      </c>
      <c r="L180" s="12" t="s">
        <v>306</v>
      </c>
      <c r="M180" s="10" t="s">
        <v>73</v>
      </c>
      <c r="O180" s="10" t="s">
        <v>60</v>
      </c>
      <c r="P180" s="10" t="s">
        <v>61</v>
      </c>
      <c r="Q180" s="12"/>
      <c r="S180" s="12">
        <v>11</v>
      </c>
      <c r="V180" s="10">
        <v>0</v>
      </c>
      <c r="W180" s="13">
        <v>2</v>
      </c>
      <c r="X180" s="10">
        <v>0</v>
      </c>
      <c r="AA180" s="10">
        <v>0</v>
      </c>
      <c r="AB180" s="10">
        <v>0</v>
      </c>
      <c r="AC180" s="10">
        <v>0</v>
      </c>
      <c r="AE180" s="14">
        <v>0</v>
      </c>
      <c r="AG180" s="10">
        <v>0</v>
      </c>
      <c r="AJ180" s="14">
        <v>0</v>
      </c>
      <c r="AK180" s="14">
        <v>0</v>
      </c>
      <c r="AL180" s="10">
        <v>0</v>
      </c>
      <c r="AM180" s="14">
        <v>0</v>
      </c>
      <c r="AO180" s="10">
        <v>0</v>
      </c>
      <c r="AR180" s="10">
        <v>0</v>
      </c>
      <c r="AS180" s="14">
        <v>0</v>
      </c>
      <c r="AT180" s="10">
        <v>0</v>
      </c>
      <c r="AU180" s="14">
        <v>0</v>
      </c>
      <c r="AY180" s="16" t="s">
        <v>131</v>
      </c>
    </row>
    <row r="181" spans="1:51" x14ac:dyDescent="0.3">
      <c r="A181" s="7" t="s">
        <v>380</v>
      </c>
      <c r="B181" s="7" t="s">
        <v>180</v>
      </c>
      <c r="C181" s="8">
        <v>43.844938390000003</v>
      </c>
      <c r="D181" s="8">
        <v>4.3480679699999998</v>
      </c>
      <c r="E181" s="9">
        <v>30</v>
      </c>
      <c r="F181" t="s">
        <v>53</v>
      </c>
      <c r="G181" s="10" t="s">
        <v>54</v>
      </c>
      <c r="H181" s="11">
        <v>-700</v>
      </c>
      <c r="I181" s="11">
        <v>-600</v>
      </c>
      <c r="J181" s="10" t="s">
        <v>299</v>
      </c>
      <c r="K181" s="10" t="s">
        <v>300</v>
      </c>
      <c r="L181" s="12" t="s">
        <v>324</v>
      </c>
      <c r="M181" s="10" t="s">
        <v>73</v>
      </c>
      <c r="O181" s="10" t="s">
        <v>60</v>
      </c>
      <c r="P181" s="10" t="s">
        <v>61</v>
      </c>
      <c r="Q181" s="12"/>
      <c r="S181" s="12">
        <v>5</v>
      </c>
      <c r="V181" s="10">
        <v>1</v>
      </c>
      <c r="W181" s="22">
        <v>1</v>
      </c>
      <c r="X181" s="10">
        <v>0</v>
      </c>
      <c r="AA181" s="10">
        <v>0</v>
      </c>
      <c r="AB181" s="10">
        <v>0</v>
      </c>
      <c r="AC181" s="10">
        <v>0</v>
      </c>
      <c r="AE181" s="14">
        <v>0</v>
      </c>
      <c r="AG181" s="10">
        <v>0</v>
      </c>
      <c r="AJ181" s="14">
        <v>0</v>
      </c>
      <c r="AK181" s="14">
        <v>0</v>
      </c>
      <c r="AL181" s="10">
        <v>0</v>
      </c>
      <c r="AM181" s="14">
        <v>0</v>
      </c>
      <c r="AO181" s="10">
        <v>0</v>
      </c>
      <c r="AR181" s="10">
        <v>0</v>
      </c>
      <c r="AS181" s="14">
        <v>0</v>
      </c>
      <c r="AT181" s="10">
        <v>0</v>
      </c>
      <c r="AU181" s="14">
        <v>0</v>
      </c>
      <c r="AY181" s="16" t="s">
        <v>131</v>
      </c>
    </row>
    <row r="182" spans="1:51" x14ac:dyDescent="0.3">
      <c r="A182" s="24" t="s">
        <v>381</v>
      </c>
      <c r="B182" s="7" t="s">
        <v>112</v>
      </c>
      <c r="C182" s="8">
        <v>45.705435270000002</v>
      </c>
      <c r="D182" s="8">
        <v>3.1740367530000002</v>
      </c>
      <c r="E182" s="9">
        <v>364</v>
      </c>
      <c r="F182" t="s">
        <v>53</v>
      </c>
      <c r="G182" s="10" t="s">
        <v>54</v>
      </c>
      <c r="H182" s="11">
        <v>-750</v>
      </c>
      <c r="I182" s="11">
        <v>-450</v>
      </c>
      <c r="J182" s="10" t="s">
        <v>299</v>
      </c>
      <c r="K182" s="10" t="s">
        <v>300</v>
      </c>
      <c r="L182" s="12" t="s">
        <v>363</v>
      </c>
      <c r="M182" s="10" t="s">
        <v>73</v>
      </c>
      <c r="O182" s="10" t="s">
        <v>60</v>
      </c>
      <c r="P182" s="10" t="s">
        <v>61</v>
      </c>
      <c r="Q182" s="12"/>
      <c r="S182" s="12">
        <v>1</v>
      </c>
      <c r="V182" s="10">
        <v>0</v>
      </c>
      <c r="W182" s="13">
        <v>5</v>
      </c>
      <c r="X182" s="10">
        <v>0</v>
      </c>
      <c r="AA182" s="10">
        <v>0</v>
      </c>
      <c r="AB182" s="10">
        <v>0</v>
      </c>
      <c r="AC182" s="10">
        <v>0</v>
      </c>
      <c r="AE182" s="14">
        <v>0</v>
      </c>
      <c r="AG182" s="10">
        <v>0</v>
      </c>
      <c r="AJ182" s="14">
        <v>0</v>
      </c>
      <c r="AK182" s="14">
        <v>0</v>
      </c>
      <c r="AL182" s="10">
        <v>0</v>
      </c>
      <c r="AM182" s="14">
        <v>0</v>
      </c>
      <c r="AO182" s="10">
        <v>0</v>
      </c>
      <c r="AR182" s="10">
        <v>0</v>
      </c>
      <c r="AS182" s="14">
        <v>0</v>
      </c>
      <c r="AT182" s="10">
        <v>0</v>
      </c>
      <c r="AU182" s="14">
        <v>0</v>
      </c>
      <c r="AY182" s="16" t="s">
        <v>165</v>
      </c>
    </row>
    <row r="183" spans="1:51" x14ac:dyDescent="0.3">
      <c r="A183" s="7" t="s">
        <v>382</v>
      </c>
      <c r="B183" s="7" t="s">
        <v>383</v>
      </c>
      <c r="C183" s="8">
        <v>43.560664269999997</v>
      </c>
      <c r="D183" s="8">
        <v>3.9517570850000001</v>
      </c>
      <c r="E183" s="9">
        <v>3</v>
      </c>
      <c r="F183" t="s">
        <v>53</v>
      </c>
      <c r="G183" s="10" t="s">
        <v>54</v>
      </c>
      <c r="H183" s="11">
        <v>-600</v>
      </c>
      <c r="I183" s="11">
        <v>-400</v>
      </c>
      <c r="J183" s="10" t="s">
        <v>299</v>
      </c>
      <c r="K183" s="10" t="s">
        <v>300</v>
      </c>
      <c r="L183" s="12" t="s">
        <v>309</v>
      </c>
      <c r="M183" s="10" t="s">
        <v>73</v>
      </c>
      <c r="O183" s="10" t="s">
        <v>60</v>
      </c>
      <c r="P183" s="10" t="s">
        <v>61</v>
      </c>
      <c r="Q183" s="12"/>
      <c r="S183" s="12">
        <v>3</v>
      </c>
      <c r="V183" s="10">
        <v>0</v>
      </c>
      <c r="W183" s="13">
        <v>1</v>
      </c>
      <c r="X183" s="10">
        <v>0</v>
      </c>
      <c r="AA183" s="10">
        <v>0</v>
      </c>
      <c r="AB183" s="10">
        <v>0</v>
      </c>
      <c r="AC183" s="10">
        <v>0</v>
      </c>
      <c r="AE183" s="14">
        <v>0</v>
      </c>
      <c r="AG183" s="10">
        <v>0</v>
      </c>
      <c r="AJ183" s="14">
        <v>0</v>
      </c>
      <c r="AK183" s="14">
        <v>0</v>
      </c>
      <c r="AL183" s="10">
        <v>0</v>
      </c>
      <c r="AM183" s="14">
        <v>0</v>
      </c>
      <c r="AO183" s="10">
        <v>0</v>
      </c>
      <c r="AR183" s="10">
        <v>0</v>
      </c>
      <c r="AS183" s="14">
        <v>0</v>
      </c>
      <c r="AT183" s="10">
        <v>0</v>
      </c>
      <c r="AU183" s="14">
        <v>0</v>
      </c>
      <c r="AY183" s="16" t="s">
        <v>165</v>
      </c>
    </row>
    <row r="184" spans="1:51" x14ac:dyDescent="0.3">
      <c r="A184" s="7" t="s">
        <v>384</v>
      </c>
      <c r="B184" s="7" t="s">
        <v>114</v>
      </c>
      <c r="C184" s="8">
        <v>42.69659541</v>
      </c>
      <c r="D184" s="8">
        <v>2.8993695399999999</v>
      </c>
      <c r="E184" s="9">
        <v>38</v>
      </c>
      <c r="F184" t="s">
        <v>53</v>
      </c>
      <c r="G184" s="10" t="s">
        <v>54</v>
      </c>
      <c r="H184" s="11">
        <v>-600</v>
      </c>
      <c r="I184" s="11">
        <v>-475</v>
      </c>
      <c r="J184" s="10" t="s">
        <v>299</v>
      </c>
      <c r="K184" s="10" t="s">
        <v>300</v>
      </c>
      <c r="L184" s="12" t="s">
        <v>309</v>
      </c>
      <c r="M184" s="10" t="s">
        <v>73</v>
      </c>
      <c r="O184" s="10" t="s">
        <v>60</v>
      </c>
      <c r="P184" s="10" t="s">
        <v>60</v>
      </c>
      <c r="Q184" s="12"/>
      <c r="S184" s="12">
        <v>47</v>
      </c>
      <c r="V184" s="10">
        <v>0</v>
      </c>
      <c r="W184" s="22">
        <v>1</v>
      </c>
      <c r="X184" s="10">
        <v>0</v>
      </c>
      <c r="AA184" s="10">
        <v>0</v>
      </c>
      <c r="AB184" s="10">
        <v>0</v>
      </c>
      <c r="AC184" s="10">
        <v>0</v>
      </c>
      <c r="AE184" s="14">
        <v>0</v>
      </c>
      <c r="AG184" s="10">
        <v>0</v>
      </c>
      <c r="AJ184" s="10">
        <v>0</v>
      </c>
      <c r="AK184" s="14">
        <v>0</v>
      </c>
      <c r="AL184" s="10">
        <v>0</v>
      </c>
      <c r="AM184" s="14">
        <v>0</v>
      </c>
      <c r="AO184" s="10">
        <v>0</v>
      </c>
      <c r="AR184" s="10">
        <v>0</v>
      </c>
      <c r="AS184" s="14">
        <v>0</v>
      </c>
      <c r="AT184" s="10">
        <v>0</v>
      </c>
      <c r="AU184" s="14">
        <v>0</v>
      </c>
      <c r="AY184" s="16" t="s">
        <v>350</v>
      </c>
    </row>
    <row r="185" spans="1:51" x14ac:dyDescent="0.3">
      <c r="A185" s="7" t="s">
        <v>259</v>
      </c>
      <c r="B185" s="7" t="s">
        <v>260</v>
      </c>
      <c r="C185" s="8">
        <v>43.582452490000001</v>
      </c>
      <c r="D185" s="8">
        <v>2.0168580039999999</v>
      </c>
      <c r="E185" s="9">
        <v>248</v>
      </c>
      <c r="F185" t="s">
        <v>53</v>
      </c>
      <c r="G185" s="10" t="s">
        <v>54</v>
      </c>
      <c r="H185" s="11">
        <v>-700</v>
      </c>
      <c r="I185" s="11">
        <v>-500</v>
      </c>
      <c r="J185" s="10" t="s">
        <v>299</v>
      </c>
      <c r="K185" s="10" t="s">
        <v>300</v>
      </c>
      <c r="L185" s="12" t="s">
        <v>306</v>
      </c>
      <c r="M185" s="10" t="s">
        <v>73</v>
      </c>
      <c r="O185" s="10" t="s">
        <v>60</v>
      </c>
      <c r="P185" s="10" t="s">
        <v>61</v>
      </c>
      <c r="Q185" s="12"/>
      <c r="S185" s="12">
        <v>21</v>
      </c>
      <c r="V185" s="10">
        <v>0</v>
      </c>
      <c r="W185" s="22">
        <v>1</v>
      </c>
      <c r="X185" s="10">
        <v>0</v>
      </c>
      <c r="AA185" s="10">
        <v>0</v>
      </c>
      <c r="AB185" s="10">
        <v>0</v>
      </c>
      <c r="AC185" s="10">
        <v>0</v>
      </c>
      <c r="AE185" s="14">
        <v>0</v>
      </c>
      <c r="AG185" s="10">
        <v>0</v>
      </c>
      <c r="AJ185" s="10">
        <v>0</v>
      </c>
      <c r="AK185" s="14">
        <v>0</v>
      </c>
      <c r="AL185" s="10">
        <v>0</v>
      </c>
      <c r="AM185" s="14">
        <v>0</v>
      </c>
      <c r="AO185" s="10">
        <v>0</v>
      </c>
      <c r="AR185" s="10">
        <v>0</v>
      </c>
      <c r="AS185" s="14">
        <v>0</v>
      </c>
      <c r="AT185" s="10">
        <v>0</v>
      </c>
      <c r="AU185" s="14">
        <v>0</v>
      </c>
      <c r="AY185" s="16" t="s">
        <v>93</v>
      </c>
    </row>
    <row r="186" spans="1:51" x14ac:dyDescent="0.3">
      <c r="A186" s="7" t="s">
        <v>385</v>
      </c>
      <c r="B186" s="7" t="s">
        <v>260</v>
      </c>
      <c r="C186" s="8">
        <v>43.582452490000001</v>
      </c>
      <c r="D186" s="8">
        <v>2.0168580039999999</v>
      </c>
      <c r="E186" s="9">
        <v>248</v>
      </c>
      <c r="F186" t="s">
        <v>53</v>
      </c>
      <c r="G186" s="10" t="s">
        <v>54</v>
      </c>
      <c r="H186" s="11">
        <v>-600</v>
      </c>
      <c r="I186" s="11">
        <v>-500</v>
      </c>
      <c r="J186" s="10" t="s">
        <v>299</v>
      </c>
      <c r="K186" s="10" t="s">
        <v>300</v>
      </c>
      <c r="L186" s="12" t="s">
        <v>309</v>
      </c>
      <c r="M186" s="10" t="s">
        <v>73</v>
      </c>
      <c r="O186" s="10" t="s">
        <v>60</v>
      </c>
      <c r="P186" s="10" t="s">
        <v>61</v>
      </c>
      <c r="Q186" s="12"/>
      <c r="S186" s="12">
        <v>40</v>
      </c>
      <c r="V186" s="10">
        <v>0</v>
      </c>
      <c r="W186" s="13">
        <v>3</v>
      </c>
      <c r="X186" s="10">
        <v>0</v>
      </c>
      <c r="AA186" s="10">
        <v>0</v>
      </c>
      <c r="AB186" s="10">
        <v>0</v>
      </c>
      <c r="AC186" s="10">
        <v>0</v>
      </c>
      <c r="AE186" s="14">
        <v>0</v>
      </c>
      <c r="AG186" s="10">
        <v>0</v>
      </c>
      <c r="AJ186" s="10">
        <v>0</v>
      </c>
      <c r="AK186" s="14">
        <v>0</v>
      </c>
      <c r="AL186" s="10">
        <v>0</v>
      </c>
      <c r="AM186" s="14">
        <v>0</v>
      </c>
      <c r="AO186" s="10">
        <v>0</v>
      </c>
      <c r="AR186" s="10">
        <v>0</v>
      </c>
      <c r="AS186" s="14">
        <v>0</v>
      </c>
      <c r="AT186" s="10">
        <v>0</v>
      </c>
      <c r="AU186" s="14">
        <v>0</v>
      </c>
      <c r="AY186" s="16" t="s">
        <v>93</v>
      </c>
    </row>
    <row r="187" spans="1:51" x14ac:dyDescent="0.3">
      <c r="A187" s="7" t="s">
        <v>183</v>
      </c>
      <c r="B187" s="7" t="s">
        <v>184</v>
      </c>
      <c r="C187" s="8">
        <v>45.913619830000002</v>
      </c>
      <c r="D187" s="8">
        <v>4.7737512329999996</v>
      </c>
      <c r="E187" s="9">
        <v>176</v>
      </c>
      <c r="F187" t="s">
        <v>53</v>
      </c>
      <c r="G187" s="10" t="s">
        <v>54</v>
      </c>
      <c r="H187" s="11">
        <v>-750</v>
      </c>
      <c r="I187" s="11">
        <v>-600</v>
      </c>
      <c r="J187" s="10" t="s">
        <v>299</v>
      </c>
      <c r="K187" s="10" t="s">
        <v>300</v>
      </c>
      <c r="L187" s="12" t="s">
        <v>311</v>
      </c>
      <c r="M187" s="10" t="s">
        <v>73</v>
      </c>
      <c r="O187" s="10" t="s">
        <v>60</v>
      </c>
      <c r="P187" s="10" t="s">
        <v>61</v>
      </c>
      <c r="Q187" s="12"/>
      <c r="S187" s="10">
        <v>47</v>
      </c>
      <c r="V187" s="10">
        <v>1</v>
      </c>
      <c r="W187" s="13">
        <v>3</v>
      </c>
      <c r="X187" s="10">
        <v>0</v>
      </c>
      <c r="AA187" s="10">
        <v>0</v>
      </c>
      <c r="AB187" s="10">
        <v>0</v>
      </c>
      <c r="AC187" s="10">
        <v>0</v>
      </c>
      <c r="AE187" s="14">
        <v>0</v>
      </c>
      <c r="AG187" s="10">
        <v>0</v>
      </c>
      <c r="AJ187" s="10">
        <v>0</v>
      </c>
      <c r="AK187" s="14">
        <v>0</v>
      </c>
      <c r="AL187" s="10">
        <v>0</v>
      </c>
      <c r="AM187" s="14">
        <v>0</v>
      </c>
      <c r="AO187" s="10">
        <v>0</v>
      </c>
      <c r="AR187" s="10">
        <v>0</v>
      </c>
      <c r="AS187" s="14">
        <v>0</v>
      </c>
      <c r="AT187" s="10">
        <v>0</v>
      </c>
      <c r="AU187" s="14">
        <v>0</v>
      </c>
      <c r="AY187" s="16" t="s">
        <v>63</v>
      </c>
    </row>
    <row r="188" spans="1:51" x14ac:dyDescent="0.3">
      <c r="A188" s="7" t="s">
        <v>183</v>
      </c>
      <c r="B188" s="7" t="s">
        <v>184</v>
      </c>
      <c r="C188" s="8">
        <v>45.913619830000002</v>
      </c>
      <c r="D188" s="8">
        <v>4.7737512329999996</v>
      </c>
      <c r="E188" s="9">
        <v>176</v>
      </c>
      <c r="F188" t="s">
        <v>53</v>
      </c>
      <c r="G188" s="10" t="s">
        <v>54</v>
      </c>
      <c r="H188" s="11">
        <v>-620</v>
      </c>
      <c r="I188" s="11">
        <v>-450</v>
      </c>
      <c r="J188" s="10" t="s">
        <v>299</v>
      </c>
      <c r="K188" s="10" t="s">
        <v>300</v>
      </c>
      <c r="L188" s="12" t="s">
        <v>386</v>
      </c>
      <c r="M188" s="10" t="s">
        <v>73</v>
      </c>
      <c r="O188" s="10" t="s">
        <v>60</v>
      </c>
      <c r="P188" s="10" t="s">
        <v>61</v>
      </c>
      <c r="Q188" s="12"/>
      <c r="S188" s="10">
        <v>77</v>
      </c>
      <c r="V188" s="10">
        <v>0</v>
      </c>
      <c r="W188" s="13">
        <v>4</v>
      </c>
      <c r="X188" s="10">
        <v>0</v>
      </c>
      <c r="AA188" s="10">
        <v>0</v>
      </c>
      <c r="AB188" s="10">
        <v>0</v>
      </c>
      <c r="AC188" s="10">
        <v>0</v>
      </c>
      <c r="AE188" s="14">
        <v>0</v>
      </c>
      <c r="AG188" s="10">
        <v>0</v>
      </c>
      <c r="AJ188" s="10">
        <v>0</v>
      </c>
      <c r="AK188" s="14">
        <v>0</v>
      </c>
      <c r="AL188" s="10">
        <v>0</v>
      </c>
      <c r="AM188" s="14">
        <v>0</v>
      </c>
      <c r="AO188" s="10">
        <v>0</v>
      </c>
      <c r="AR188" s="10">
        <v>0</v>
      </c>
      <c r="AS188" s="14">
        <v>0</v>
      </c>
      <c r="AT188" s="10">
        <v>0</v>
      </c>
      <c r="AU188" s="14">
        <v>0</v>
      </c>
      <c r="AY188" s="16" t="s">
        <v>63</v>
      </c>
    </row>
    <row r="189" spans="1:51" x14ac:dyDescent="0.3">
      <c r="A189" s="20" t="s">
        <v>261</v>
      </c>
      <c r="B189" s="7" t="s">
        <v>262</v>
      </c>
      <c r="C189" s="8">
        <v>45.894266780000002</v>
      </c>
      <c r="D189" s="8">
        <v>3.1324646970000001</v>
      </c>
      <c r="E189" s="9">
        <v>335</v>
      </c>
      <c r="F189" t="s">
        <v>53</v>
      </c>
      <c r="G189" s="10" t="s">
        <v>54</v>
      </c>
      <c r="H189" s="11">
        <v>-800</v>
      </c>
      <c r="I189" s="11">
        <v>-650</v>
      </c>
      <c r="J189" s="10" t="s">
        <v>299</v>
      </c>
      <c r="K189" s="10" t="s">
        <v>300</v>
      </c>
      <c r="L189" s="12" t="s">
        <v>311</v>
      </c>
      <c r="M189" s="10" t="s">
        <v>73</v>
      </c>
      <c r="O189" s="10" t="s">
        <v>60</v>
      </c>
      <c r="P189" s="10" t="s">
        <v>61</v>
      </c>
      <c r="Q189" s="12"/>
      <c r="S189" s="12">
        <v>50</v>
      </c>
      <c r="V189" s="10">
        <v>1</v>
      </c>
      <c r="W189" s="13">
        <v>9</v>
      </c>
      <c r="X189" s="10">
        <v>0</v>
      </c>
      <c r="AA189" s="10">
        <v>0</v>
      </c>
      <c r="AB189" s="10">
        <v>0</v>
      </c>
      <c r="AC189" s="10">
        <v>0</v>
      </c>
      <c r="AE189" s="14">
        <v>0</v>
      </c>
      <c r="AG189" s="10">
        <v>0</v>
      </c>
      <c r="AJ189" s="14">
        <v>0</v>
      </c>
      <c r="AK189" s="14">
        <v>0</v>
      </c>
      <c r="AL189" s="10">
        <v>0</v>
      </c>
      <c r="AM189" s="14">
        <v>0</v>
      </c>
      <c r="AO189" s="10">
        <v>0</v>
      </c>
      <c r="AR189" s="10">
        <v>0</v>
      </c>
      <c r="AS189" s="14">
        <v>0</v>
      </c>
      <c r="AT189" s="10">
        <v>0</v>
      </c>
      <c r="AU189" s="14">
        <v>0</v>
      </c>
      <c r="AY189" s="16" t="s">
        <v>63</v>
      </c>
    </row>
    <row r="190" spans="1:51" x14ac:dyDescent="0.3">
      <c r="A190" s="7" t="s">
        <v>265</v>
      </c>
      <c r="B190" s="7" t="s">
        <v>266</v>
      </c>
      <c r="C190" s="8">
        <v>43.927183390000003</v>
      </c>
      <c r="D190" s="8">
        <v>4.5387249589999996</v>
      </c>
      <c r="E190" s="9">
        <v>91</v>
      </c>
      <c r="F190" t="s">
        <v>53</v>
      </c>
      <c r="G190" s="10" t="s">
        <v>54</v>
      </c>
      <c r="H190" s="11">
        <v>-550</v>
      </c>
      <c r="I190" s="11">
        <v>-500</v>
      </c>
      <c r="J190" s="10" t="s">
        <v>299</v>
      </c>
      <c r="K190" s="10" t="s">
        <v>300</v>
      </c>
      <c r="L190" s="12" t="s">
        <v>309</v>
      </c>
      <c r="M190" s="10" t="s">
        <v>73</v>
      </c>
      <c r="O190" s="10" t="s">
        <v>60</v>
      </c>
      <c r="P190" s="10" t="s">
        <v>61</v>
      </c>
      <c r="Q190" s="12"/>
      <c r="S190" s="12">
        <v>110</v>
      </c>
      <c r="V190" s="10">
        <v>2</v>
      </c>
      <c r="W190" s="13">
        <v>1</v>
      </c>
      <c r="X190" s="10">
        <v>0</v>
      </c>
      <c r="AA190" s="10">
        <v>0</v>
      </c>
      <c r="AB190" s="10">
        <v>0</v>
      </c>
      <c r="AC190" s="10">
        <v>0</v>
      </c>
      <c r="AE190" s="14">
        <v>0</v>
      </c>
      <c r="AG190" s="10">
        <v>0</v>
      </c>
      <c r="AJ190" s="14">
        <v>0</v>
      </c>
      <c r="AK190" s="14">
        <v>0</v>
      </c>
      <c r="AL190" s="10">
        <v>0</v>
      </c>
      <c r="AM190" s="14">
        <v>0</v>
      </c>
      <c r="AO190" s="10">
        <v>0</v>
      </c>
      <c r="AR190" s="10">
        <v>0</v>
      </c>
      <c r="AS190" s="14">
        <v>0</v>
      </c>
      <c r="AT190" s="10">
        <v>0</v>
      </c>
      <c r="AU190" s="14">
        <v>0</v>
      </c>
      <c r="AY190" s="16" t="s">
        <v>78</v>
      </c>
    </row>
    <row r="191" spans="1:51" x14ac:dyDescent="0.3">
      <c r="A191" s="7" t="s">
        <v>265</v>
      </c>
      <c r="B191" s="7" t="s">
        <v>266</v>
      </c>
      <c r="C191" s="8">
        <v>43.927183390000003</v>
      </c>
      <c r="D191" s="8">
        <v>4.5387249589999996</v>
      </c>
      <c r="E191" s="9">
        <v>91</v>
      </c>
      <c r="F191" t="s">
        <v>53</v>
      </c>
      <c r="G191" s="10" t="s">
        <v>54</v>
      </c>
      <c r="H191" s="11">
        <v>-500</v>
      </c>
      <c r="I191" s="11">
        <v>-450</v>
      </c>
      <c r="J191" s="10" t="s">
        <v>299</v>
      </c>
      <c r="K191" s="10" t="s">
        <v>300</v>
      </c>
      <c r="L191" s="12" t="s">
        <v>314</v>
      </c>
      <c r="M191" s="10" t="s">
        <v>73</v>
      </c>
      <c r="O191" s="10" t="s">
        <v>60</v>
      </c>
      <c r="P191" s="10" t="s">
        <v>61</v>
      </c>
      <c r="Q191" s="12"/>
      <c r="S191" s="12">
        <v>161</v>
      </c>
      <c r="V191" s="10">
        <v>0</v>
      </c>
      <c r="W191" s="13">
        <v>1</v>
      </c>
      <c r="X191" s="10">
        <v>0</v>
      </c>
      <c r="AA191" s="10">
        <v>0</v>
      </c>
      <c r="AB191" s="10">
        <v>0</v>
      </c>
      <c r="AC191" s="10">
        <v>0</v>
      </c>
      <c r="AE191" s="14">
        <v>0</v>
      </c>
      <c r="AG191" s="10">
        <v>0</v>
      </c>
      <c r="AJ191" s="14">
        <v>0</v>
      </c>
      <c r="AK191" s="14">
        <v>0</v>
      </c>
      <c r="AL191" s="10">
        <v>0</v>
      </c>
      <c r="AM191" s="14">
        <v>0</v>
      </c>
      <c r="AO191" s="10">
        <v>0</v>
      </c>
      <c r="AR191" s="10">
        <v>0</v>
      </c>
      <c r="AS191" s="14">
        <v>0</v>
      </c>
      <c r="AT191" s="10">
        <v>0</v>
      </c>
      <c r="AU191" s="14">
        <v>0</v>
      </c>
      <c r="AY191" s="16" t="s">
        <v>78</v>
      </c>
    </row>
    <row r="192" spans="1:51" x14ac:dyDescent="0.3">
      <c r="A192" s="7" t="s">
        <v>387</v>
      </c>
      <c r="B192" s="7" t="s">
        <v>388</v>
      </c>
      <c r="C192" s="8">
        <v>43.96088443</v>
      </c>
      <c r="D192" s="8">
        <v>3.138846901</v>
      </c>
      <c r="E192" s="9">
        <v>770</v>
      </c>
      <c r="F192" t="s">
        <v>53</v>
      </c>
      <c r="G192" s="10" t="s">
        <v>54</v>
      </c>
      <c r="H192" s="11">
        <v>-700</v>
      </c>
      <c r="I192" s="11">
        <v>-600</v>
      </c>
      <c r="J192" s="10" t="s">
        <v>299</v>
      </c>
      <c r="K192" s="10" t="s">
        <v>300</v>
      </c>
      <c r="L192" s="12" t="s">
        <v>306</v>
      </c>
      <c r="M192" s="10" t="s">
        <v>73</v>
      </c>
      <c r="O192" s="10" t="s">
        <v>60</v>
      </c>
      <c r="P192" s="10" t="s">
        <v>61</v>
      </c>
      <c r="Q192" s="17"/>
      <c r="S192" s="12">
        <v>10</v>
      </c>
      <c r="V192" s="10">
        <v>1</v>
      </c>
      <c r="W192" s="13">
        <v>8</v>
      </c>
      <c r="X192" s="10">
        <v>0</v>
      </c>
      <c r="AA192" s="10">
        <v>0</v>
      </c>
      <c r="AB192" s="10">
        <v>0</v>
      </c>
      <c r="AC192" s="10">
        <v>0</v>
      </c>
      <c r="AE192" s="14">
        <v>0</v>
      </c>
      <c r="AG192" s="10">
        <v>0</v>
      </c>
      <c r="AJ192" s="14">
        <v>0</v>
      </c>
      <c r="AK192" s="14">
        <v>0</v>
      </c>
      <c r="AL192" s="10">
        <v>0</v>
      </c>
      <c r="AM192" s="14">
        <v>0</v>
      </c>
      <c r="AO192" s="14">
        <v>0</v>
      </c>
      <c r="AR192" s="10">
        <v>0</v>
      </c>
      <c r="AS192" s="14">
        <v>0</v>
      </c>
      <c r="AT192" s="14">
        <v>0</v>
      </c>
      <c r="AU192" s="14">
        <v>0</v>
      </c>
      <c r="AY192" s="16" t="s">
        <v>93</v>
      </c>
    </row>
    <row r="193" spans="1:51" x14ac:dyDescent="0.3">
      <c r="A193" s="7" t="s">
        <v>389</v>
      </c>
      <c r="B193" s="7" t="s">
        <v>390</v>
      </c>
      <c r="C193" s="8">
        <v>43.356473100000002</v>
      </c>
      <c r="D193" s="8">
        <v>6.6117279020000002</v>
      </c>
      <c r="E193" s="9">
        <v>525</v>
      </c>
      <c r="F193" t="s">
        <v>53</v>
      </c>
      <c r="G193" s="10" t="s">
        <v>54</v>
      </c>
      <c r="H193" s="11">
        <v>-600</v>
      </c>
      <c r="I193" s="11">
        <v>-500</v>
      </c>
      <c r="J193" s="10" t="s">
        <v>299</v>
      </c>
      <c r="K193" s="10" t="s">
        <v>300</v>
      </c>
      <c r="L193" s="12" t="s">
        <v>309</v>
      </c>
      <c r="M193" s="10" t="s">
        <v>73</v>
      </c>
      <c r="O193" s="10" t="s">
        <v>60</v>
      </c>
      <c r="P193" s="10" t="s">
        <v>61</v>
      </c>
      <c r="Q193" s="12"/>
      <c r="S193" s="12">
        <v>7</v>
      </c>
      <c r="V193" s="10">
        <v>2</v>
      </c>
      <c r="W193" s="13">
        <v>2</v>
      </c>
      <c r="X193" s="10">
        <v>0</v>
      </c>
      <c r="AA193" s="10">
        <v>0</v>
      </c>
      <c r="AB193" s="10">
        <v>0</v>
      </c>
      <c r="AC193" s="10">
        <v>0</v>
      </c>
      <c r="AE193" s="14">
        <v>0</v>
      </c>
      <c r="AG193" s="10">
        <v>0</v>
      </c>
      <c r="AJ193" s="10">
        <v>0</v>
      </c>
      <c r="AK193" s="14">
        <v>0</v>
      </c>
      <c r="AL193" s="10">
        <v>0</v>
      </c>
      <c r="AM193" s="14">
        <v>0</v>
      </c>
      <c r="AO193" s="10">
        <v>1</v>
      </c>
      <c r="AR193" s="10">
        <v>1</v>
      </c>
      <c r="AS193" s="14">
        <v>0</v>
      </c>
      <c r="AT193" s="10">
        <v>1</v>
      </c>
      <c r="AU193" s="14">
        <v>0</v>
      </c>
      <c r="AV193" s="10" t="s">
        <v>62</v>
      </c>
      <c r="AY193" s="16" t="s">
        <v>78</v>
      </c>
    </row>
    <row r="194" spans="1:51" x14ac:dyDescent="0.3">
      <c r="A194" s="7" t="s">
        <v>272</v>
      </c>
      <c r="B194" s="7" t="s">
        <v>273</v>
      </c>
      <c r="C194" s="8">
        <v>45.70146656</v>
      </c>
      <c r="D194" s="8">
        <v>4.9488207170000003</v>
      </c>
      <c r="E194" s="9">
        <v>215</v>
      </c>
      <c r="F194" t="s">
        <v>53</v>
      </c>
      <c r="G194" s="10" t="s">
        <v>54</v>
      </c>
      <c r="H194" s="11">
        <v>-525</v>
      </c>
      <c r="I194" s="11">
        <v>-400</v>
      </c>
      <c r="J194" s="10" t="s">
        <v>299</v>
      </c>
      <c r="K194" s="10" t="s">
        <v>300</v>
      </c>
      <c r="L194" s="12" t="s">
        <v>309</v>
      </c>
      <c r="M194" s="10" t="s">
        <v>73</v>
      </c>
      <c r="O194" s="10" t="s">
        <v>60</v>
      </c>
      <c r="P194" s="10" t="s">
        <v>61</v>
      </c>
      <c r="Q194" s="12"/>
      <c r="S194" s="12">
        <v>455</v>
      </c>
      <c r="V194" s="10">
        <v>0</v>
      </c>
      <c r="W194" s="13">
        <v>2</v>
      </c>
      <c r="X194" s="10">
        <v>0</v>
      </c>
      <c r="AA194" s="10">
        <v>0</v>
      </c>
      <c r="AB194" s="10">
        <v>0</v>
      </c>
      <c r="AC194" s="10">
        <v>0</v>
      </c>
      <c r="AE194" s="14">
        <v>0</v>
      </c>
      <c r="AG194" s="10">
        <v>0</v>
      </c>
      <c r="AJ194" s="10">
        <v>0</v>
      </c>
      <c r="AK194" s="14">
        <v>0</v>
      </c>
      <c r="AL194" s="10">
        <v>0</v>
      </c>
      <c r="AM194" s="14">
        <v>0</v>
      </c>
      <c r="AO194" s="10">
        <v>0</v>
      </c>
      <c r="AR194" s="10">
        <v>0</v>
      </c>
      <c r="AS194" s="14">
        <v>0</v>
      </c>
      <c r="AT194" s="10">
        <v>0</v>
      </c>
      <c r="AU194" s="14">
        <v>0</v>
      </c>
      <c r="AY194" s="16" t="s">
        <v>68</v>
      </c>
    </row>
    <row r="195" spans="1:51" x14ac:dyDescent="0.3">
      <c r="A195" s="7" t="s">
        <v>391</v>
      </c>
      <c r="B195" s="7" t="s">
        <v>392</v>
      </c>
      <c r="C195" s="8">
        <v>42.837198549999997</v>
      </c>
      <c r="D195" s="8">
        <v>2.915935803</v>
      </c>
      <c r="E195" s="9">
        <v>66</v>
      </c>
      <c r="F195" t="s">
        <v>53</v>
      </c>
      <c r="G195" s="10" t="s">
        <v>54</v>
      </c>
      <c r="H195" s="11">
        <v>-600</v>
      </c>
      <c r="I195" s="11">
        <v>-400</v>
      </c>
      <c r="J195" s="10" t="s">
        <v>299</v>
      </c>
      <c r="K195" s="10" t="s">
        <v>300</v>
      </c>
      <c r="L195" s="12" t="s">
        <v>309</v>
      </c>
      <c r="M195" s="10" t="s">
        <v>73</v>
      </c>
      <c r="O195" s="10" t="s">
        <v>60</v>
      </c>
      <c r="P195" s="10" t="s">
        <v>60</v>
      </c>
      <c r="Q195" s="12"/>
      <c r="S195" s="12">
        <v>260</v>
      </c>
      <c r="V195" s="10">
        <v>6</v>
      </c>
      <c r="W195" s="22">
        <v>1</v>
      </c>
      <c r="X195" s="10">
        <v>0</v>
      </c>
      <c r="AA195" s="10">
        <v>0</v>
      </c>
      <c r="AB195" s="10">
        <v>0</v>
      </c>
      <c r="AC195" s="10">
        <v>0</v>
      </c>
      <c r="AE195" s="14">
        <v>0</v>
      </c>
      <c r="AG195" s="10">
        <v>1</v>
      </c>
      <c r="AJ195" s="10">
        <v>1</v>
      </c>
      <c r="AK195" s="14">
        <v>0</v>
      </c>
      <c r="AL195" s="10">
        <v>1</v>
      </c>
      <c r="AM195" s="14">
        <v>0</v>
      </c>
      <c r="AN195" s="10" t="s">
        <v>62</v>
      </c>
      <c r="AO195" s="10">
        <v>0</v>
      </c>
      <c r="AR195" s="10">
        <v>0</v>
      </c>
      <c r="AS195" s="14">
        <v>0</v>
      </c>
      <c r="AT195" s="10">
        <v>0</v>
      </c>
      <c r="AU195" s="14">
        <v>0</v>
      </c>
      <c r="AY195" s="16" t="s">
        <v>393</v>
      </c>
    </row>
    <row r="196" spans="1:51" x14ac:dyDescent="0.3">
      <c r="A196" s="7" t="s">
        <v>394</v>
      </c>
      <c r="B196" s="7" t="s">
        <v>395</v>
      </c>
      <c r="C196" s="8">
        <v>43.039598359999999</v>
      </c>
      <c r="D196" s="8">
        <v>2.9812420909999999</v>
      </c>
      <c r="E196" s="9">
        <v>18</v>
      </c>
      <c r="F196" t="s">
        <v>53</v>
      </c>
      <c r="G196" s="10" t="s">
        <v>54</v>
      </c>
      <c r="H196" s="11">
        <v>-550</v>
      </c>
      <c r="I196" s="11">
        <v>-425</v>
      </c>
      <c r="J196" s="10" t="s">
        <v>299</v>
      </c>
      <c r="K196" s="10" t="s">
        <v>300</v>
      </c>
      <c r="L196" s="12" t="s">
        <v>306</v>
      </c>
      <c r="M196" s="10" t="s">
        <v>73</v>
      </c>
      <c r="O196" s="10" t="s">
        <v>60</v>
      </c>
      <c r="P196" s="10" t="s">
        <v>61</v>
      </c>
      <c r="Q196" s="17"/>
      <c r="S196" s="12">
        <v>296</v>
      </c>
      <c r="V196" s="10">
        <v>6</v>
      </c>
      <c r="W196" s="13">
        <v>12</v>
      </c>
      <c r="X196" s="10">
        <v>0</v>
      </c>
      <c r="AA196" s="10">
        <v>0</v>
      </c>
      <c r="AB196" s="10">
        <v>0</v>
      </c>
      <c r="AC196" s="10">
        <v>0</v>
      </c>
      <c r="AE196" s="14">
        <v>0</v>
      </c>
      <c r="AG196" s="10">
        <v>0</v>
      </c>
      <c r="AJ196" s="14">
        <v>0</v>
      </c>
      <c r="AK196" s="14">
        <v>0</v>
      </c>
      <c r="AL196" s="10">
        <v>0</v>
      </c>
      <c r="AM196" s="14">
        <v>0</v>
      </c>
      <c r="AO196" s="14">
        <v>0</v>
      </c>
      <c r="AR196" s="10">
        <v>0</v>
      </c>
      <c r="AS196" s="14">
        <v>0</v>
      </c>
      <c r="AT196" s="14">
        <v>0</v>
      </c>
      <c r="AU196" s="14">
        <v>0</v>
      </c>
      <c r="AY196" s="16" t="s">
        <v>396</v>
      </c>
    </row>
    <row r="197" spans="1:51" x14ac:dyDescent="0.3">
      <c r="A197" s="7" t="s">
        <v>397</v>
      </c>
      <c r="B197" s="7" t="s">
        <v>398</v>
      </c>
      <c r="C197" s="8">
        <v>44.014576400000003</v>
      </c>
      <c r="D197" s="8">
        <v>4.8674051540000001</v>
      </c>
      <c r="E197" s="9">
        <v>30</v>
      </c>
      <c r="F197" t="s">
        <v>53</v>
      </c>
      <c r="G197" s="10" t="s">
        <v>54</v>
      </c>
      <c r="H197" s="11">
        <v>-525</v>
      </c>
      <c r="I197" s="11">
        <v>-500</v>
      </c>
      <c r="J197" s="10" t="s">
        <v>299</v>
      </c>
      <c r="K197" s="10" t="s">
        <v>300</v>
      </c>
      <c r="L197" s="12" t="s">
        <v>309</v>
      </c>
      <c r="M197" s="10" t="s">
        <v>73</v>
      </c>
      <c r="O197" s="10" t="s">
        <v>60</v>
      </c>
      <c r="P197" s="10" t="s">
        <v>60</v>
      </c>
      <c r="Q197" s="12"/>
      <c r="S197" s="12">
        <v>1272</v>
      </c>
      <c r="V197" s="10">
        <v>1715</v>
      </c>
      <c r="W197" s="13">
        <v>60</v>
      </c>
      <c r="X197" s="10">
        <v>0</v>
      </c>
      <c r="AA197" s="10">
        <v>0</v>
      </c>
      <c r="AB197" s="10">
        <v>0</v>
      </c>
      <c r="AC197" s="10">
        <v>0</v>
      </c>
      <c r="AE197" s="14">
        <v>0</v>
      </c>
      <c r="AG197" s="10">
        <v>1</v>
      </c>
      <c r="AJ197" s="10">
        <v>1555</v>
      </c>
      <c r="AK197" s="14">
        <v>0</v>
      </c>
      <c r="AL197" s="10">
        <v>40</v>
      </c>
      <c r="AM197" s="14">
        <v>1</v>
      </c>
      <c r="AN197" s="10" t="s">
        <v>62</v>
      </c>
      <c r="AO197" s="10">
        <v>0</v>
      </c>
      <c r="AR197" s="10">
        <v>0</v>
      </c>
      <c r="AS197" s="14">
        <v>0</v>
      </c>
      <c r="AT197" s="10">
        <v>0</v>
      </c>
      <c r="AU197" s="14">
        <v>0</v>
      </c>
      <c r="AY197" s="16" t="s">
        <v>78</v>
      </c>
    </row>
    <row r="198" spans="1:51" x14ac:dyDescent="0.3">
      <c r="A198" s="7" t="s">
        <v>399</v>
      </c>
      <c r="B198" s="7" t="s">
        <v>400</v>
      </c>
      <c r="C198" s="8">
        <v>44.329996540000003</v>
      </c>
      <c r="D198" s="8">
        <v>4.606564906</v>
      </c>
      <c r="E198" s="9">
        <v>141</v>
      </c>
      <c r="F198" t="s">
        <v>53</v>
      </c>
      <c r="G198" s="10" t="s">
        <v>54</v>
      </c>
      <c r="H198" s="11">
        <v>-525</v>
      </c>
      <c r="I198" s="11">
        <v>-475</v>
      </c>
      <c r="J198" s="10" t="s">
        <v>299</v>
      </c>
      <c r="K198" s="10" t="s">
        <v>300</v>
      </c>
      <c r="L198" s="12" t="s">
        <v>401</v>
      </c>
      <c r="M198" s="10" t="s">
        <v>73</v>
      </c>
      <c r="O198" s="10" t="s">
        <v>60</v>
      </c>
      <c r="P198" s="10" t="s">
        <v>61</v>
      </c>
      <c r="Q198" s="17"/>
      <c r="S198" s="12">
        <v>4</v>
      </c>
      <c r="V198" s="10">
        <v>0</v>
      </c>
      <c r="W198" s="13">
        <v>1</v>
      </c>
      <c r="X198" s="10">
        <v>0</v>
      </c>
      <c r="AA198" s="10">
        <v>0</v>
      </c>
      <c r="AB198" s="10">
        <v>0</v>
      </c>
      <c r="AC198" s="10">
        <v>0</v>
      </c>
      <c r="AE198" s="14">
        <v>0</v>
      </c>
      <c r="AG198" s="10">
        <v>0</v>
      </c>
      <c r="AJ198" s="14">
        <v>0</v>
      </c>
      <c r="AK198" s="14">
        <v>0</v>
      </c>
      <c r="AL198" s="10">
        <v>0</v>
      </c>
      <c r="AM198" s="14">
        <v>0</v>
      </c>
      <c r="AO198" s="14">
        <v>0</v>
      </c>
      <c r="AR198" s="10">
        <v>0</v>
      </c>
      <c r="AS198" s="14">
        <v>0</v>
      </c>
      <c r="AT198" s="14">
        <v>0</v>
      </c>
      <c r="AU198" s="14">
        <v>0</v>
      </c>
      <c r="AY198" s="16" t="s">
        <v>68</v>
      </c>
    </row>
    <row r="199" spans="1:51" x14ac:dyDescent="0.3">
      <c r="A199" s="7" t="s">
        <v>402</v>
      </c>
      <c r="B199" s="7" t="s">
        <v>403</v>
      </c>
      <c r="C199" s="8">
        <v>43.903747439999997</v>
      </c>
      <c r="D199" s="8">
        <v>4.6260789569999998</v>
      </c>
      <c r="E199" s="9">
        <v>36</v>
      </c>
      <c r="F199" t="s">
        <v>53</v>
      </c>
      <c r="G199" s="10" t="s">
        <v>54</v>
      </c>
      <c r="H199" s="11">
        <v>-750</v>
      </c>
      <c r="I199" s="11">
        <v>-625</v>
      </c>
      <c r="J199" s="10" t="s">
        <v>299</v>
      </c>
      <c r="K199" s="10" t="s">
        <v>300</v>
      </c>
      <c r="L199" s="12" t="s">
        <v>324</v>
      </c>
      <c r="M199" s="10" t="s">
        <v>73</v>
      </c>
      <c r="O199" s="10" t="s">
        <v>60</v>
      </c>
      <c r="P199" s="10" t="s">
        <v>61</v>
      </c>
      <c r="Q199" s="12"/>
      <c r="S199" s="12">
        <v>100</v>
      </c>
      <c r="V199" s="10">
        <v>0</v>
      </c>
      <c r="W199" s="13">
        <v>1</v>
      </c>
      <c r="X199" s="10">
        <v>0</v>
      </c>
      <c r="AA199" s="10">
        <v>0</v>
      </c>
      <c r="AB199" s="10">
        <v>0</v>
      </c>
      <c r="AC199" s="10">
        <v>0</v>
      </c>
      <c r="AE199" s="14">
        <v>0</v>
      </c>
      <c r="AG199" s="10">
        <v>0</v>
      </c>
      <c r="AJ199" s="14">
        <v>0</v>
      </c>
      <c r="AK199" s="14">
        <v>0</v>
      </c>
      <c r="AL199" s="10">
        <v>0</v>
      </c>
      <c r="AM199" s="14">
        <v>0</v>
      </c>
      <c r="AO199" s="10">
        <v>0</v>
      </c>
      <c r="AR199" s="10">
        <v>0</v>
      </c>
      <c r="AS199" s="14">
        <v>0</v>
      </c>
      <c r="AT199" s="10">
        <v>0</v>
      </c>
      <c r="AU199" s="14">
        <v>0</v>
      </c>
      <c r="AY199" s="16" t="s">
        <v>68</v>
      </c>
    </row>
    <row r="200" spans="1:51" x14ac:dyDescent="0.3">
      <c r="A200" s="7" t="s">
        <v>404</v>
      </c>
      <c r="B200" s="7" t="s">
        <v>405</v>
      </c>
      <c r="C200" s="8">
        <v>43.442612869999998</v>
      </c>
      <c r="D200" s="8">
        <v>3.373250632</v>
      </c>
      <c r="E200" s="9">
        <v>58</v>
      </c>
      <c r="F200" t="s">
        <v>53</v>
      </c>
      <c r="G200" s="10" t="s">
        <v>54</v>
      </c>
      <c r="H200" s="11">
        <v>-550</v>
      </c>
      <c r="I200" s="11">
        <v>-550</v>
      </c>
      <c r="J200" s="10" t="s">
        <v>299</v>
      </c>
      <c r="K200" s="10" t="s">
        <v>300</v>
      </c>
      <c r="L200" s="12" t="s">
        <v>309</v>
      </c>
      <c r="M200" s="10" t="s">
        <v>73</v>
      </c>
      <c r="O200" s="10" t="s">
        <v>60</v>
      </c>
      <c r="P200" s="10" t="s">
        <v>61</v>
      </c>
      <c r="Q200" s="12"/>
      <c r="S200" s="12">
        <v>169</v>
      </c>
      <c r="V200" s="10">
        <v>0</v>
      </c>
      <c r="W200" s="13">
        <v>1</v>
      </c>
      <c r="X200" s="10">
        <v>0</v>
      </c>
      <c r="AA200" s="10">
        <v>0</v>
      </c>
      <c r="AB200" s="10">
        <v>0</v>
      </c>
      <c r="AC200" s="10">
        <v>0</v>
      </c>
      <c r="AE200" s="14">
        <v>0</v>
      </c>
      <c r="AG200" s="10">
        <v>0</v>
      </c>
      <c r="AJ200" s="14">
        <v>0</v>
      </c>
      <c r="AK200" s="14">
        <v>0</v>
      </c>
      <c r="AL200" s="10">
        <v>0</v>
      </c>
      <c r="AM200" s="14">
        <v>0</v>
      </c>
      <c r="AO200" s="10">
        <v>0</v>
      </c>
      <c r="AR200" s="10">
        <v>0</v>
      </c>
      <c r="AS200" s="14">
        <v>0</v>
      </c>
      <c r="AT200" s="10">
        <v>0</v>
      </c>
      <c r="AU200" s="14">
        <v>0</v>
      </c>
      <c r="AY200" s="16" t="s">
        <v>131</v>
      </c>
    </row>
    <row r="201" spans="1:51" x14ac:dyDescent="0.3">
      <c r="A201" s="7" t="s">
        <v>404</v>
      </c>
      <c r="B201" s="7" t="s">
        <v>405</v>
      </c>
      <c r="C201" s="8">
        <v>43.442612869999998</v>
      </c>
      <c r="D201" s="8">
        <v>3.373250632</v>
      </c>
      <c r="E201" s="9">
        <v>58</v>
      </c>
      <c r="F201" t="s">
        <v>53</v>
      </c>
      <c r="G201" s="10" t="s">
        <v>54</v>
      </c>
      <c r="H201" s="11">
        <v>-550</v>
      </c>
      <c r="I201" s="11">
        <v>-550</v>
      </c>
      <c r="J201" s="10" t="s">
        <v>299</v>
      </c>
      <c r="K201" s="10" t="s">
        <v>300</v>
      </c>
      <c r="L201" s="12" t="s">
        <v>309</v>
      </c>
      <c r="M201" s="10" t="s">
        <v>73</v>
      </c>
      <c r="O201" s="10" t="s">
        <v>60</v>
      </c>
      <c r="P201" s="10" t="s">
        <v>61</v>
      </c>
      <c r="Q201" s="12"/>
      <c r="S201" s="12">
        <v>169</v>
      </c>
      <c r="V201" s="10">
        <v>0</v>
      </c>
      <c r="W201" s="13">
        <v>1</v>
      </c>
      <c r="X201" s="10">
        <v>0</v>
      </c>
      <c r="AA201" s="10">
        <v>0</v>
      </c>
      <c r="AB201" s="10">
        <v>0</v>
      </c>
      <c r="AC201" s="10">
        <v>0</v>
      </c>
      <c r="AE201" s="14">
        <v>0</v>
      </c>
      <c r="AG201" s="10">
        <v>0</v>
      </c>
      <c r="AJ201" s="14">
        <v>0</v>
      </c>
      <c r="AK201" s="14">
        <v>0</v>
      </c>
      <c r="AL201" s="10">
        <v>0</v>
      </c>
      <c r="AM201" s="14">
        <v>0</v>
      </c>
      <c r="AO201" s="10">
        <v>0</v>
      </c>
      <c r="AR201" s="10">
        <v>0</v>
      </c>
      <c r="AS201" s="14">
        <v>0</v>
      </c>
      <c r="AT201" s="10">
        <v>0</v>
      </c>
      <c r="AU201" s="14">
        <v>0</v>
      </c>
      <c r="AY201" s="16" t="s">
        <v>131</v>
      </c>
    </row>
    <row r="202" spans="1:51" x14ac:dyDescent="0.3">
      <c r="A202" s="7" t="s">
        <v>406</v>
      </c>
      <c r="B202" s="7" t="s">
        <v>407</v>
      </c>
      <c r="C202" s="8">
        <v>44.400301239999997</v>
      </c>
      <c r="D202" s="8">
        <v>4.4053708599999997</v>
      </c>
      <c r="E202" s="9">
        <v>183</v>
      </c>
      <c r="F202" t="s">
        <v>53</v>
      </c>
      <c r="G202" s="10" t="s">
        <v>54</v>
      </c>
      <c r="H202" s="11">
        <v>-550</v>
      </c>
      <c r="I202" s="11">
        <v>-550</v>
      </c>
      <c r="J202" s="10" t="s">
        <v>299</v>
      </c>
      <c r="K202" s="10" t="s">
        <v>300</v>
      </c>
      <c r="L202" s="12" t="s">
        <v>309</v>
      </c>
      <c r="M202" s="10" t="s">
        <v>67</v>
      </c>
      <c r="O202" s="10" t="s">
        <v>60</v>
      </c>
      <c r="P202" s="10" t="s">
        <v>60</v>
      </c>
      <c r="Q202" s="12"/>
      <c r="S202" s="12">
        <v>55</v>
      </c>
      <c r="V202" s="10">
        <v>28</v>
      </c>
      <c r="W202" s="13">
        <v>1</v>
      </c>
      <c r="X202" s="10">
        <v>0</v>
      </c>
      <c r="AA202" s="10">
        <v>0</v>
      </c>
      <c r="AB202" s="10">
        <v>0</v>
      </c>
      <c r="AC202" s="10">
        <v>0</v>
      </c>
      <c r="AE202" s="14">
        <v>0</v>
      </c>
      <c r="AG202" s="10">
        <v>0</v>
      </c>
      <c r="AJ202" s="14">
        <v>0</v>
      </c>
      <c r="AK202" s="14">
        <v>0</v>
      </c>
      <c r="AL202" s="10">
        <v>0</v>
      </c>
      <c r="AM202" s="14">
        <v>0</v>
      </c>
      <c r="AO202" s="14">
        <v>0</v>
      </c>
      <c r="AR202" s="10">
        <v>0</v>
      </c>
      <c r="AS202" s="14">
        <v>0</v>
      </c>
      <c r="AT202" s="14">
        <v>0</v>
      </c>
      <c r="AU202" s="14">
        <v>0</v>
      </c>
      <c r="AY202" s="16" t="s">
        <v>178</v>
      </c>
    </row>
    <row r="203" spans="1:51" x14ac:dyDescent="0.3">
      <c r="A203" s="7" t="s">
        <v>408</v>
      </c>
      <c r="B203" s="7" t="s">
        <v>409</v>
      </c>
      <c r="C203" s="8">
        <v>43.625846850000002</v>
      </c>
      <c r="D203" s="8">
        <v>4.3059709330000002</v>
      </c>
      <c r="E203" s="9">
        <v>14</v>
      </c>
      <c r="F203" t="s">
        <v>53</v>
      </c>
      <c r="G203" s="10" t="s">
        <v>54</v>
      </c>
      <c r="H203" s="11">
        <v>-525</v>
      </c>
      <c r="I203" s="11">
        <v>-475</v>
      </c>
      <c r="J203" s="10" t="s">
        <v>299</v>
      </c>
      <c r="K203" s="10" t="s">
        <v>300</v>
      </c>
      <c r="L203" s="12" t="s">
        <v>309</v>
      </c>
      <c r="M203" s="10" t="s">
        <v>59</v>
      </c>
      <c r="O203" s="10" t="s">
        <v>60</v>
      </c>
      <c r="P203" s="10" t="s">
        <v>61</v>
      </c>
      <c r="Q203" s="12"/>
      <c r="S203" s="12">
        <v>21</v>
      </c>
      <c r="V203" s="10">
        <v>0</v>
      </c>
      <c r="W203" s="13">
        <v>3</v>
      </c>
      <c r="X203" s="10">
        <v>0</v>
      </c>
      <c r="AA203" s="10">
        <v>0</v>
      </c>
      <c r="AB203" s="10">
        <v>0</v>
      </c>
      <c r="AC203" s="10">
        <v>0</v>
      </c>
      <c r="AE203" s="14">
        <v>0</v>
      </c>
      <c r="AG203" s="10">
        <v>0</v>
      </c>
      <c r="AJ203" s="14">
        <v>0</v>
      </c>
      <c r="AK203" s="14">
        <v>0</v>
      </c>
      <c r="AL203" s="10">
        <v>0</v>
      </c>
      <c r="AM203" s="14">
        <v>0</v>
      </c>
      <c r="AO203" s="10">
        <v>0</v>
      </c>
      <c r="AR203" s="10">
        <v>0</v>
      </c>
      <c r="AS203" s="14">
        <v>0</v>
      </c>
      <c r="AT203" s="10">
        <v>0</v>
      </c>
      <c r="AU203" s="14">
        <v>0</v>
      </c>
      <c r="AY203" s="16" t="s">
        <v>131</v>
      </c>
    </row>
    <row r="204" spans="1:51" x14ac:dyDescent="0.3">
      <c r="A204" s="7" t="s">
        <v>288</v>
      </c>
      <c r="B204" s="7" t="s">
        <v>289</v>
      </c>
      <c r="C204" s="8">
        <v>43.738464059999998</v>
      </c>
      <c r="D204" s="8">
        <v>7.1019443610000001</v>
      </c>
      <c r="E204" s="9">
        <v>533</v>
      </c>
      <c r="F204" t="s">
        <v>53</v>
      </c>
      <c r="G204" s="10" t="s">
        <v>54</v>
      </c>
      <c r="H204" s="11">
        <v>-600</v>
      </c>
      <c r="I204" s="11">
        <v>-400</v>
      </c>
      <c r="J204" s="10" t="s">
        <v>299</v>
      </c>
      <c r="K204" s="10" t="s">
        <v>300</v>
      </c>
      <c r="L204" s="12" t="s">
        <v>306</v>
      </c>
      <c r="M204" s="10" t="s">
        <v>73</v>
      </c>
      <c r="O204" s="10" t="s">
        <v>60</v>
      </c>
      <c r="P204" s="10" t="s">
        <v>60</v>
      </c>
      <c r="Q204" s="12"/>
      <c r="S204" s="12">
        <v>0</v>
      </c>
      <c r="V204" s="10">
        <v>0</v>
      </c>
      <c r="W204" s="13">
        <v>3</v>
      </c>
      <c r="X204" s="10">
        <v>0</v>
      </c>
      <c r="AA204" s="10">
        <v>0</v>
      </c>
      <c r="AB204" s="10">
        <v>0</v>
      </c>
      <c r="AC204" s="10">
        <v>0</v>
      </c>
      <c r="AE204" s="14">
        <v>0</v>
      </c>
      <c r="AG204" s="14">
        <v>0</v>
      </c>
      <c r="AJ204" s="14">
        <v>0</v>
      </c>
      <c r="AK204" s="14">
        <v>0</v>
      </c>
      <c r="AL204" s="14">
        <v>0</v>
      </c>
      <c r="AM204" s="14">
        <v>0</v>
      </c>
      <c r="AO204" s="14">
        <v>0</v>
      </c>
      <c r="AR204" s="10">
        <v>0</v>
      </c>
      <c r="AS204" s="14">
        <v>0</v>
      </c>
      <c r="AT204" s="14">
        <v>0</v>
      </c>
      <c r="AU204" s="14">
        <v>0</v>
      </c>
      <c r="AY204" s="16" t="s">
        <v>68</v>
      </c>
    </row>
    <row r="205" spans="1:51" x14ac:dyDescent="0.3">
      <c r="A205" s="20" t="s">
        <v>294</v>
      </c>
      <c r="B205" s="7" t="s">
        <v>295</v>
      </c>
      <c r="C205" s="8">
        <v>45.673173239999997</v>
      </c>
      <c r="D205" s="8">
        <v>3.1640507950000001</v>
      </c>
      <c r="E205" s="9">
        <v>427</v>
      </c>
      <c r="F205" t="s">
        <v>53</v>
      </c>
      <c r="G205" s="10" t="s">
        <v>54</v>
      </c>
      <c r="H205" s="11">
        <v>-625</v>
      </c>
      <c r="I205" s="11">
        <v>-510</v>
      </c>
      <c r="J205" s="10" t="s">
        <v>299</v>
      </c>
      <c r="K205" s="10" t="s">
        <v>300</v>
      </c>
      <c r="L205" s="12" t="s">
        <v>309</v>
      </c>
      <c r="M205" s="10" t="s">
        <v>73</v>
      </c>
      <c r="O205" s="10" t="s">
        <v>60</v>
      </c>
      <c r="P205" s="10" t="s">
        <v>61</v>
      </c>
      <c r="Q205" s="12"/>
      <c r="S205" s="18">
        <v>90</v>
      </c>
      <c r="V205" s="10">
        <v>9</v>
      </c>
      <c r="W205" s="13">
        <v>10</v>
      </c>
      <c r="X205" s="10">
        <v>0</v>
      </c>
      <c r="AA205" s="10">
        <v>0</v>
      </c>
      <c r="AB205" s="10">
        <v>0</v>
      </c>
      <c r="AC205" s="10">
        <v>0</v>
      </c>
      <c r="AE205" s="14">
        <v>0</v>
      </c>
      <c r="AG205" s="10">
        <v>0</v>
      </c>
      <c r="AJ205" s="14">
        <v>0</v>
      </c>
      <c r="AK205" s="14">
        <v>0</v>
      </c>
      <c r="AL205" s="10">
        <v>0</v>
      </c>
      <c r="AM205" s="14">
        <v>0</v>
      </c>
      <c r="AO205" s="10">
        <v>0</v>
      </c>
      <c r="AR205" s="10">
        <v>0</v>
      </c>
      <c r="AS205" s="14">
        <v>0</v>
      </c>
      <c r="AT205" s="10">
        <v>0</v>
      </c>
      <c r="AU205" s="14">
        <v>0</v>
      </c>
      <c r="AY205" s="16" t="s">
        <v>63</v>
      </c>
    </row>
    <row r="206" spans="1:51" x14ac:dyDescent="0.3">
      <c r="A206" s="7" t="s">
        <v>410</v>
      </c>
      <c r="B206" s="7" t="s">
        <v>411</v>
      </c>
      <c r="C206" s="8">
        <v>43.867946269999997</v>
      </c>
      <c r="D206" s="8">
        <v>4.0771617249999998</v>
      </c>
      <c r="E206" s="9">
        <v>76</v>
      </c>
      <c r="F206" t="s">
        <v>53</v>
      </c>
      <c r="G206" s="10" t="s">
        <v>54</v>
      </c>
      <c r="H206" s="11">
        <v>-700</v>
      </c>
      <c r="I206" s="11">
        <v>-625</v>
      </c>
      <c r="J206" s="10" t="s">
        <v>299</v>
      </c>
      <c r="K206" s="10" t="s">
        <v>300</v>
      </c>
      <c r="L206" s="12" t="s">
        <v>324</v>
      </c>
      <c r="M206" s="10" t="s">
        <v>73</v>
      </c>
      <c r="O206" s="10" t="s">
        <v>60</v>
      </c>
      <c r="P206" s="10" t="s">
        <v>61</v>
      </c>
      <c r="Q206" s="17"/>
      <c r="S206" s="12">
        <v>40</v>
      </c>
      <c r="V206" s="10">
        <v>0</v>
      </c>
      <c r="W206" s="13">
        <v>2</v>
      </c>
      <c r="X206" s="10">
        <v>0</v>
      </c>
      <c r="AA206" s="10">
        <v>0</v>
      </c>
      <c r="AB206" s="10">
        <v>0</v>
      </c>
      <c r="AC206" s="10">
        <v>0</v>
      </c>
      <c r="AE206" s="14">
        <v>0</v>
      </c>
      <c r="AG206" s="10">
        <v>0</v>
      </c>
      <c r="AJ206" s="14">
        <v>0</v>
      </c>
      <c r="AK206" s="14">
        <v>0</v>
      </c>
      <c r="AL206" s="10">
        <v>0</v>
      </c>
      <c r="AM206" s="14">
        <v>0</v>
      </c>
      <c r="AO206" s="10">
        <v>0</v>
      </c>
      <c r="AR206" s="10">
        <v>0</v>
      </c>
      <c r="AS206" s="14">
        <v>0</v>
      </c>
      <c r="AT206" s="10">
        <v>0</v>
      </c>
      <c r="AU206" s="14">
        <v>0</v>
      </c>
      <c r="AY206" s="16" t="s">
        <v>78</v>
      </c>
    </row>
    <row r="207" spans="1:51" x14ac:dyDescent="0.3">
      <c r="A207" s="34" t="s">
        <v>412</v>
      </c>
      <c r="B207" s="35" t="s">
        <v>194</v>
      </c>
      <c r="C207" s="8">
        <v>43.316667000000002</v>
      </c>
      <c r="D207" s="8">
        <v>3.4666670000000002</v>
      </c>
      <c r="E207" s="9">
        <v>1</v>
      </c>
      <c r="F207" t="s">
        <v>53</v>
      </c>
      <c r="G207" s="10" t="s">
        <v>54</v>
      </c>
      <c r="H207" s="11">
        <v>-30</v>
      </c>
      <c r="I207" s="11">
        <v>200</v>
      </c>
      <c r="J207" s="12" t="s">
        <v>413</v>
      </c>
      <c r="K207" s="36" t="s">
        <v>414</v>
      </c>
      <c r="L207" s="12" t="s">
        <v>415</v>
      </c>
      <c r="M207" s="37" t="s">
        <v>59</v>
      </c>
      <c r="O207" s="10" t="s">
        <v>60</v>
      </c>
      <c r="P207" s="10" t="s">
        <v>61</v>
      </c>
      <c r="S207" s="10">
        <v>83</v>
      </c>
      <c r="V207" s="10">
        <v>0</v>
      </c>
      <c r="W207" s="12">
        <v>1</v>
      </c>
      <c r="X207" s="10">
        <v>0</v>
      </c>
      <c r="AA207" s="10">
        <v>0</v>
      </c>
      <c r="AB207" s="10">
        <v>0</v>
      </c>
      <c r="AC207" s="10">
        <v>0</v>
      </c>
      <c r="AE207" s="10">
        <v>0</v>
      </c>
      <c r="AG207" s="14">
        <v>0</v>
      </c>
      <c r="AJ207" s="14">
        <v>0</v>
      </c>
      <c r="AK207" s="14">
        <v>0</v>
      </c>
      <c r="AL207" s="14">
        <v>0</v>
      </c>
      <c r="AM207" s="14">
        <v>0</v>
      </c>
      <c r="AO207" s="14">
        <v>0</v>
      </c>
      <c r="AP207" s="14"/>
      <c r="AQ207" s="14"/>
      <c r="AR207" s="14">
        <v>0</v>
      </c>
      <c r="AS207" s="14">
        <v>0</v>
      </c>
      <c r="AT207" s="14">
        <v>0</v>
      </c>
      <c r="AU207" s="14">
        <v>0</v>
      </c>
      <c r="AX207" s="38" t="s">
        <v>416</v>
      </c>
      <c r="AY207" s="38" t="s">
        <v>68</v>
      </c>
    </row>
    <row r="208" spans="1:51" x14ac:dyDescent="0.3">
      <c r="A208" s="34" t="s">
        <v>417</v>
      </c>
      <c r="B208" s="35" t="s">
        <v>417</v>
      </c>
      <c r="C208" s="39">
        <v>44.554000000000002</v>
      </c>
      <c r="D208" s="39">
        <v>4.5940000000000003</v>
      </c>
      <c r="E208" s="9">
        <v>190</v>
      </c>
      <c r="F208" t="s">
        <v>53</v>
      </c>
      <c r="G208" s="10" t="s">
        <v>54</v>
      </c>
      <c r="H208" s="11">
        <v>-30</v>
      </c>
      <c r="I208" s="11">
        <v>200</v>
      </c>
      <c r="J208" s="12" t="s">
        <v>413</v>
      </c>
      <c r="K208" s="36" t="s">
        <v>414</v>
      </c>
      <c r="L208" s="10" t="s">
        <v>415</v>
      </c>
      <c r="M208" s="40" t="s">
        <v>92</v>
      </c>
      <c r="O208" s="10" t="s">
        <v>60</v>
      </c>
      <c r="P208" s="10" t="s">
        <v>84</v>
      </c>
      <c r="S208" s="10">
        <v>0</v>
      </c>
      <c r="V208" s="10">
        <v>0</v>
      </c>
      <c r="W208" s="12">
        <v>3</v>
      </c>
      <c r="X208" s="10">
        <v>0</v>
      </c>
      <c r="AA208" s="10">
        <v>0</v>
      </c>
      <c r="AB208" s="10">
        <v>0</v>
      </c>
      <c r="AC208" s="10">
        <v>0</v>
      </c>
      <c r="AE208" s="10">
        <v>0</v>
      </c>
      <c r="AG208" s="14">
        <v>0</v>
      </c>
      <c r="AJ208" s="14">
        <v>0</v>
      </c>
      <c r="AK208" s="14">
        <v>0</v>
      </c>
      <c r="AL208" s="14">
        <v>0</v>
      </c>
      <c r="AM208" s="14">
        <v>0</v>
      </c>
      <c r="AO208" s="14">
        <v>0</v>
      </c>
      <c r="AP208" s="14"/>
      <c r="AQ208" s="14"/>
      <c r="AR208" s="14">
        <v>0</v>
      </c>
      <c r="AS208" s="14">
        <v>0</v>
      </c>
      <c r="AT208" s="14">
        <v>0</v>
      </c>
      <c r="AU208" s="14">
        <v>0</v>
      </c>
      <c r="AX208" s="16" t="s">
        <v>418</v>
      </c>
      <c r="AY208" s="16" t="s">
        <v>78</v>
      </c>
    </row>
    <row r="209" spans="1:51" ht="28.8" x14ac:dyDescent="0.3">
      <c r="A209" s="16" t="s">
        <v>419</v>
      </c>
      <c r="B209" s="38" t="s">
        <v>420</v>
      </c>
      <c r="C209" s="25">
        <v>43.666666999999997</v>
      </c>
      <c r="D209" s="25">
        <v>4.6333330000000004</v>
      </c>
      <c r="E209" s="26">
        <v>25</v>
      </c>
      <c r="F209" s="15" t="s">
        <v>53</v>
      </c>
      <c r="G209" s="14" t="s">
        <v>54</v>
      </c>
      <c r="H209" s="28">
        <v>-30</v>
      </c>
      <c r="I209" s="28">
        <v>200</v>
      </c>
      <c r="J209" s="18" t="s">
        <v>413</v>
      </c>
      <c r="K209" s="41" t="s">
        <v>414</v>
      </c>
      <c r="L209" s="18" t="s">
        <v>415</v>
      </c>
      <c r="M209" s="18" t="s">
        <v>421</v>
      </c>
      <c r="N209" s="14" t="s">
        <v>422</v>
      </c>
      <c r="O209" s="14" t="s">
        <v>60</v>
      </c>
      <c r="P209" s="14" t="s">
        <v>61</v>
      </c>
      <c r="Q209" s="15"/>
      <c r="R209" s="15"/>
      <c r="S209" s="14">
        <v>0</v>
      </c>
      <c r="T209" s="15"/>
      <c r="U209" s="15"/>
      <c r="V209" s="14">
        <v>2</v>
      </c>
      <c r="W209" s="18">
        <v>15</v>
      </c>
      <c r="X209" s="14">
        <v>0</v>
      </c>
      <c r="Y209" s="14"/>
      <c r="Z209" s="14"/>
      <c r="AA209" s="14">
        <v>0</v>
      </c>
      <c r="AB209" s="14">
        <v>0</v>
      </c>
      <c r="AC209" s="14">
        <v>0</v>
      </c>
      <c r="AD209" s="14"/>
      <c r="AE209" s="14">
        <v>0</v>
      </c>
      <c r="AF209" s="14"/>
      <c r="AG209" s="14">
        <v>0</v>
      </c>
      <c r="AH209" s="14"/>
      <c r="AI209" s="14"/>
      <c r="AJ209" s="14">
        <v>0</v>
      </c>
      <c r="AK209" s="14">
        <v>0</v>
      </c>
      <c r="AL209" s="14">
        <v>0</v>
      </c>
      <c r="AM209" s="14">
        <v>0</v>
      </c>
      <c r="AN209" s="14"/>
      <c r="AO209" s="14">
        <v>0</v>
      </c>
      <c r="AP209" s="14"/>
      <c r="AQ209" s="14"/>
      <c r="AR209" s="14">
        <v>0</v>
      </c>
      <c r="AS209" s="14">
        <v>0</v>
      </c>
      <c r="AT209" s="14">
        <v>0</v>
      </c>
      <c r="AU209" s="14">
        <v>0</v>
      </c>
      <c r="AV209" s="14"/>
      <c r="AW209" s="15"/>
      <c r="AX209" s="38" t="s">
        <v>423</v>
      </c>
      <c r="AY209" s="38" t="s">
        <v>424</v>
      </c>
    </row>
    <row r="210" spans="1:51" ht="28.8" x14ac:dyDescent="0.3">
      <c r="A210" s="16" t="s">
        <v>425</v>
      </c>
      <c r="B210" s="38" t="s">
        <v>420</v>
      </c>
      <c r="C210" s="25">
        <v>43.666666999999997</v>
      </c>
      <c r="D210" s="25">
        <v>4.6333330000000004</v>
      </c>
      <c r="E210" s="26">
        <v>25</v>
      </c>
      <c r="F210" s="15" t="s">
        <v>53</v>
      </c>
      <c r="G210" s="14" t="s">
        <v>54</v>
      </c>
      <c r="H210" s="28">
        <v>-30</v>
      </c>
      <c r="I210" s="28">
        <v>200</v>
      </c>
      <c r="J210" s="18" t="s">
        <v>413</v>
      </c>
      <c r="K210" s="41" t="s">
        <v>414</v>
      </c>
      <c r="L210" s="18" t="s">
        <v>415</v>
      </c>
      <c r="M210" s="18" t="s">
        <v>421</v>
      </c>
      <c r="N210" s="14" t="s">
        <v>422</v>
      </c>
      <c r="O210" s="14" t="s">
        <v>60</v>
      </c>
      <c r="P210" s="14" t="s">
        <v>61</v>
      </c>
      <c r="Q210" s="15"/>
      <c r="R210" s="15"/>
      <c r="S210" s="14">
        <v>2</v>
      </c>
      <c r="T210" s="15"/>
      <c r="U210" s="15"/>
      <c r="V210" s="14">
        <v>1</v>
      </c>
      <c r="W210" s="18">
        <v>2</v>
      </c>
      <c r="X210" s="14">
        <v>0</v>
      </c>
      <c r="Y210" s="14"/>
      <c r="Z210" s="14"/>
      <c r="AA210" s="14">
        <v>0</v>
      </c>
      <c r="AB210" s="14">
        <v>0</v>
      </c>
      <c r="AC210" s="14">
        <v>0</v>
      </c>
      <c r="AD210" s="14"/>
      <c r="AE210" s="14">
        <v>0</v>
      </c>
      <c r="AF210" s="14"/>
      <c r="AG210" s="14">
        <v>0</v>
      </c>
      <c r="AH210" s="14"/>
      <c r="AI210" s="14"/>
      <c r="AJ210" s="14">
        <v>0</v>
      </c>
      <c r="AK210" s="14">
        <v>0</v>
      </c>
      <c r="AL210" s="14">
        <v>0</v>
      </c>
      <c r="AM210" s="14">
        <v>0</v>
      </c>
      <c r="AN210" s="14"/>
      <c r="AO210" s="14">
        <v>0</v>
      </c>
      <c r="AP210" s="14"/>
      <c r="AQ210" s="14"/>
      <c r="AR210" s="14">
        <v>0</v>
      </c>
      <c r="AS210" s="14">
        <v>0</v>
      </c>
      <c r="AT210" s="14">
        <v>0</v>
      </c>
      <c r="AU210" s="14">
        <v>0</v>
      </c>
      <c r="AV210" s="14"/>
      <c r="AW210" s="15"/>
      <c r="AX210" s="38" t="s">
        <v>426</v>
      </c>
      <c r="AY210" s="38" t="s">
        <v>427</v>
      </c>
    </row>
    <row r="211" spans="1:51" x14ac:dyDescent="0.3">
      <c r="A211" s="42" t="s">
        <v>428</v>
      </c>
      <c r="B211" s="42" t="s">
        <v>420</v>
      </c>
      <c r="C211" s="8">
        <v>43.666666999999997</v>
      </c>
      <c r="D211" s="8">
        <v>4.6333330000000004</v>
      </c>
      <c r="E211" s="26">
        <v>25</v>
      </c>
      <c r="F211" t="s">
        <v>53</v>
      </c>
      <c r="G211" s="10" t="s">
        <v>54</v>
      </c>
      <c r="H211" s="11">
        <v>-30</v>
      </c>
      <c r="I211" s="11">
        <v>200</v>
      </c>
      <c r="J211" s="12" t="s">
        <v>413</v>
      </c>
      <c r="K211" s="36" t="s">
        <v>414</v>
      </c>
      <c r="L211" s="12" t="s">
        <v>415</v>
      </c>
      <c r="M211" s="40" t="s">
        <v>429</v>
      </c>
      <c r="N211" s="10" t="s">
        <v>430</v>
      </c>
      <c r="O211" s="10" t="s">
        <v>60</v>
      </c>
      <c r="P211" s="10" t="s">
        <v>61</v>
      </c>
      <c r="S211" s="10">
        <v>7</v>
      </c>
      <c r="V211" s="10">
        <v>1</v>
      </c>
      <c r="W211" s="10">
        <v>1</v>
      </c>
      <c r="X211" s="10">
        <v>0</v>
      </c>
      <c r="AA211" s="10">
        <v>0</v>
      </c>
      <c r="AB211" s="10">
        <v>0</v>
      </c>
      <c r="AC211" s="10">
        <v>0</v>
      </c>
      <c r="AE211" s="10">
        <v>0</v>
      </c>
      <c r="AG211" s="14">
        <v>0</v>
      </c>
      <c r="AJ211" s="14">
        <v>0</v>
      </c>
      <c r="AK211" s="14">
        <v>0</v>
      </c>
      <c r="AL211" s="14">
        <v>0</v>
      </c>
      <c r="AM211" s="14">
        <v>0</v>
      </c>
      <c r="AO211" s="14">
        <v>0</v>
      </c>
      <c r="AP211" s="14"/>
      <c r="AQ211" s="14"/>
      <c r="AR211" s="14">
        <v>0</v>
      </c>
      <c r="AS211" s="14">
        <v>0</v>
      </c>
      <c r="AT211" s="14">
        <v>0</v>
      </c>
      <c r="AU211" s="14">
        <v>0</v>
      </c>
      <c r="AX211" s="15" t="s">
        <v>431</v>
      </c>
      <c r="AY211" s="15" t="s">
        <v>432</v>
      </c>
    </row>
    <row r="212" spans="1:51" x14ac:dyDescent="0.3">
      <c r="A212" s="34" t="s">
        <v>433</v>
      </c>
      <c r="B212" s="35" t="s">
        <v>434</v>
      </c>
      <c r="C212" s="8">
        <v>43.566667000000002</v>
      </c>
      <c r="D212" s="8">
        <v>3.4333330000000002</v>
      </c>
      <c r="E212" s="9">
        <v>213</v>
      </c>
      <c r="F212" t="s">
        <v>53</v>
      </c>
      <c r="G212" s="10" t="s">
        <v>54</v>
      </c>
      <c r="H212" s="11">
        <v>-30</v>
      </c>
      <c r="I212" s="11">
        <v>200</v>
      </c>
      <c r="J212" s="12" t="s">
        <v>413</v>
      </c>
      <c r="K212" s="36" t="s">
        <v>414</v>
      </c>
      <c r="L212" s="12" t="s">
        <v>415</v>
      </c>
      <c r="M212" s="37" t="s">
        <v>59</v>
      </c>
      <c r="O212" s="10" t="s">
        <v>60</v>
      </c>
      <c r="P212" s="10" t="s">
        <v>61</v>
      </c>
      <c r="S212" s="10">
        <v>20</v>
      </c>
      <c r="V212" s="10">
        <v>3</v>
      </c>
      <c r="W212" s="12">
        <v>5</v>
      </c>
      <c r="X212" s="10">
        <v>0</v>
      </c>
      <c r="AA212" s="10">
        <v>0</v>
      </c>
      <c r="AB212" s="10">
        <v>0</v>
      </c>
      <c r="AC212" s="10">
        <v>0</v>
      </c>
      <c r="AE212" s="14">
        <v>0</v>
      </c>
      <c r="AG212" s="14">
        <v>0</v>
      </c>
      <c r="AJ212" s="14">
        <v>0</v>
      </c>
      <c r="AK212" s="14">
        <v>0</v>
      </c>
      <c r="AL212" s="14">
        <v>0</v>
      </c>
      <c r="AM212" s="14">
        <v>0</v>
      </c>
      <c r="AO212" s="14">
        <v>0</v>
      </c>
      <c r="AP212" s="14"/>
      <c r="AQ212" s="14"/>
      <c r="AR212" s="14">
        <v>0</v>
      </c>
      <c r="AS212" s="14">
        <v>0</v>
      </c>
      <c r="AT212" s="14">
        <v>0</v>
      </c>
      <c r="AU212" s="14">
        <v>0</v>
      </c>
      <c r="AX212" s="38" t="s">
        <v>435</v>
      </c>
      <c r="AY212" s="38" t="s">
        <v>350</v>
      </c>
    </row>
    <row r="213" spans="1:51" x14ac:dyDescent="0.3">
      <c r="A213" s="42" t="s">
        <v>436</v>
      </c>
      <c r="B213" s="42" t="s">
        <v>437</v>
      </c>
      <c r="C213" s="8">
        <v>43.799999</v>
      </c>
      <c r="D213" s="8">
        <v>4.6333333000000003</v>
      </c>
      <c r="E213" s="9">
        <v>339</v>
      </c>
      <c r="F213" t="s">
        <v>53</v>
      </c>
      <c r="G213" s="10" t="s">
        <v>54</v>
      </c>
      <c r="H213" s="11">
        <v>-30</v>
      </c>
      <c r="I213" s="11">
        <v>200</v>
      </c>
      <c r="J213" s="12" t="s">
        <v>413</v>
      </c>
      <c r="K213" s="36" t="s">
        <v>414</v>
      </c>
      <c r="L213" s="10" t="s">
        <v>415</v>
      </c>
      <c r="M213" s="40" t="s">
        <v>59</v>
      </c>
      <c r="O213" s="10" t="s">
        <v>60</v>
      </c>
      <c r="P213" s="10" t="s">
        <v>61</v>
      </c>
      <c r="S213" s="10">
        <v>12</v>
      </c>
      <c r="V213" s="10">
        <v>0</v>
      </c>
      <c r="W213" s="12">
        <v>31</v>
      </c>
      <c r="X213" s="10">
        <v>0</v>
      </c>
      <c r="AA213" s="10">
        <v>0</v>
      </c>
      <c r="AB213" s="10">
        <v>0</v>
      </c>
      <c r="AC213" s="10">
        <v>0</v>
      </c>
      <c r="AE213" s="10">
        <v>0</v>
      </c>
      <c r="AG213" s="14">
        <v>0</v>
      </c>
      <c r="AJ213" s="14">
        <v>0</v>
      </c>
      <c r="AK213" s="14">
        <v>0</v>
      </c>
      <c r="AL213" s="14">
        <v>0</v>
      </c>
      <c r="AM213" s="14">
        <v>0</v>
      </c>
      <c r="AO213" s="14">
        <v>0</v>
      </c>
      <c r="AP213" s="14"/>
      <c r="AQ213" s="14"/>
      <c r="AR213" s="14">
        <v>0</v>
      </c>
      <c r="AS213" s="14">
        <v>0</v>
      </c>
      <c r="AT213" s="14">
        <v>0</v>
      </c>
      <c r="AU213" s="14">
        <v>0</v>
      </c>
      <c r="AX213" s="15" t="s">
        <v>438</v>
      </c>
      <c r="AY213" s="15" t="s">
        <v>439</v>
      </c>
    </row>
    <row r="214" spans="1:51" x14ac:dyDescent="0.3">
      <c r="A214" s="42" t="s">
        <v>440</v>
      </c>
      <c r="B214" s="42" t="s">
        <v>441</v>
      </c>
      <c r="C214" s="8">
        <v>43.466667000000001</v>
      </c>
      <c r="D214" s="8">
        <v>5.1833330000000002</v>
      </c>
      <c r="E214" s="9">
        <v>146</v>
      </c>
      <c r="F214" t="s">
        <v>53</v>
      </c>
      <c r="G214" s="10" t="s">
        <v>54</v>
      </c>
      <c r="H214" s="11">
        <v>-30</v>
      </c>
      <c r="I214" s="11">
        <v>200</v>
      </c>
      <c r="J214" s="12" t="s">
        <v>413</v>
      </c>
      <c r="K214" s="36" t="s">
        <v>414</v>
      </c>
      <c r="L214" s="10" t="s">
        <v>415</v>
      </c>
      <c r="M214" s="40" t="s">
        <v>59</v>
      </c>
      <c r="O214" s="10" t="s">
        <v>60</v>
      </c>
      <c r="P214" s="10" t="s">
        <v>61</v>
      </c>
      <c r="S214" s="10">
        <v>21</v>
      </c>
      <c r="V214" s="10">
        <v>3</v>
      </c>
      <c r="W214" s="10">
        <v>17</v>
      </c>
      <c r="X214" s="10">
        <v>0</v>
      </c>
      <c r="AA214" s="10">
        <v>0</v>
      </c>
      <c r="AB214" s="10">
        <v>0</v>
      </c>
      <c r="AC214" s="10">
        <v>0</v>
      </c>
      <c r="AE214" s="10">
        <v>0</v>
      </c>
      <c r="AG214" s="14">
        <v>0</v>
      </c>
      <c r="AJ214" s="14">
        <v>0</v>
      </c>
      <c r="AK214" s="14">
        <v>0</v>
      </c>
      <c r="AL214" s="14">
        <v>0</v>
      </c>
      <c r="AM214" s="14">
        <v>0</v>
      </c>
      <c r="AO214" s="14">
        <v>0</v>
      </c>
      <c r="AP214" s="14"/>
      <c r="AQ214" s="14"/>
      <c r="AR214" s="14">
        <v>0</v>
      </c>
      <c r="AS214" s="14">
        <v>0</v>
      </c>
      <c r="AT214" s="14">
        <v>0</v>
      </c>
      <c r="AU214" s="14">
        <v>0</v>
      </c>
      <c r="AX214" s="15" t="s">
        <v>442</v>
      </c>
      <c r="AY214" s="15" t="s">
        <v>350</v>
      </c>
    </row>
    <row r="215" spans="1:51" x14ac:dyDescent="0.3">
      <c r="A215" s="42" t="s">
        <v>443</v>
      </c>
      <c r="B215" s="42" t="s">
        <v>209</v>
      </c>
      <c r="C215" s="8">
        <v>43.35</v>
      </c>
      <c r="D215" s="8">
        <v>3.25</v>
      </c>
      <c r="E215" s="9">
        <v>45</v>
      </c>
      <c r="F215" t="s">
        <v>53</v>
      </c>
      <c r="G215" s="10" t="s">
        <v>54</v>
      </c>
      <c r="H215" s="11">
        <v>-30</v>
      </c>
      <c r="I215" s="11">
        <v>200</v>
      </c>
      <c r="J215" s="12" t="s">
        <v>413</v>
      </c>
      <c r="K215" s="36" t="s">
        <v>414</v>
      </c>
      <c r="L215" s="12" t="s">
        <v>415</v>
      </c>
      <c r="M215" s="40" t="s">
        <v>59</v>
      </c>
      <c r="N215" s="10" t="s">
        <v>444</v>
      </c>
      <c r="O215" s="10" t="s">
        <v>60</v>
      </c>
      <c r="P215" s="10" t="s">
        <v>61</v>
      </c>
      <c r="S215" s="10">
        <v>1</v>
      </c>
      <c r="V215" s="10">
        <v>0</v>
      </c>
      <c r="W215" s="12">
        <v>3</v>
      </c>
      <c r="X215" s="10">
        <v>0</v>
      </c>
      <c r="AA215" s="10">
        <v>0</v>
      </c>
      <c r="AB215" s="10">
        <v>0</v>
      </c>
      <c r="AC215" s="10">
        <v>0</v>
      </c>
      <c r="AE215" s="10">
        <v>0</v>
      </c>
      <c r="AG215" s="14">
        <v>0</v>
      </c>
      <c r="AJ215" s="14">
        <v>0</v>
      </c>
      <c r="AK215" s="14">
        <v>0</v>
      </c>
      <c r="AL215" s="14">
        <v>0</v>
      </c>
      <c r="AM215" s="14">
        <v>0</v>
      </c>
      <c r="AO215" s="14">
        <v>0</v>
      </c>
      <c r="AP215" s="14"/>
      <c r="AQ215" s="14"/>
      <c r="AR215" s="14">
        <v>0</v>
      </c>
      <c r="AS215" s="14">
        <v>0</v>
      </c>
      <c r="AT215" s="14">
        <v>0</v>
      </c>
      <c r="AU215" s="14">
        <v>0</v>
      </c>
      <c r="AX215" s="15" t="s">
        <v>445</v>
      </c>
      <c r="AY215" s="15" t="s">
        <v>446</v>
      </c>
    </row>
    <row r="216" spans="1:51" x14ac:dyDescent="0.3">
      <c r="A216" s="43" t="s">
        <v>145</v>
      </c>
      <c r="B216" s="35" t="s">
        <v>145</v>
      </c>
      <c r="C216" s="8">
        <v>43.25</v>
      </c>
      <c r="D216" s="8">
        <v>2.12</v>
      </c>
      <c r="E216" s="9">
        <v>136</v>
      </c>
      <c r="F216" t="s">
        <v>53</v>
      </c>
      <c r="G216" s="10" t="s">
        <v>54</v>
      </c>
      <c r="H216" s="11">
        <v>-30</v>
      </c>
      <c r="I216" s="11">
        <v>200</v>
      </c>
      <c r="J216" s="12" t="s">
        <v>413</v>
      </c>
      <c r="K216" s="36" t="s">
        <v>414</v>
      </c>
      <c r="L216" s="10" t="s">
        <v>415</v>
      </c>
      <c r="M216" s="37" t="s">
        <v>92</v>
      </c>
      <c r="O216" s="10" t="s">
        <v>60</v>
      </c>
      <c r="P216" s="10" t="s">
        <v>84</v>
      </c>
      <c r="S216" s="10">
        <v>2</v>
      </c>
      <c r="V216" s="10">
        <v>2</v>
      </c>
      <c r="W216" s="9">
        <v>4</v>
      </c>
      <c r="X216" s="10">
        <v>0</v>
      </c>
      <c r="AA216" s="10">
        <v>0</v>
      </c>
      <c r="AB216" s="10">
        <v>0</v>
      </c>
      <c r="AC216" s="10">
        <v>0</v>
      </c>
      <c r="AE216" s="10">
        <v>0</v>
      </c>
      <c r="AG216" s="14">
        <v>0</v>
      </c>
      <c r="AJ216" s="14">
        <v>0</v>
      </c>
      <c r="AK216" s="14">
        <v>0</v>
      </c>
      <c r="AL216" s="14">
        <v>0</v>
      </c>
      <c r="AM216" s="14">
        <v>0</v>
      </c>
      <c r="AO216" s="14">
        <v>0</v>
      </c>
      <c r="AP216" s="14"/>
      <c r="AQ216" s="14"/>
      <c r="AR216" s="14">
        <v>0</v>
      </c>
      <c r="AS216" s="14">
        <v>0</v>
      </c>
      <c r="AT216" s="14">
        <v>0</v>
      </c>
      <c r="AU216" s="14">
        <v>0</v>
      </c>
      <c r="AX216" s="16" t="s">
        <v>447</v>
      </c>
      <c r="AY216" s="16" t="s">
        <v>161</v>
      </c>
    </row>
    <row r="217" spans="1:51" x14ac:dyDescent="0.3">
      <c r="A217" s="42" t="s">
        <v>448</v>
      </c>
      <c r="B217" s="42" t="s">
        <v>145</v>
      </c>
      <c r="C217" s="8">
        <v>43.25</v>
      </c>
      <c r="D217" s="8">
        <v>2.12</v>
      </c>
      <c r="E217" s="9">
        <v>136</v>
      </c>
      <c r="F217" t="s">
        <v>53</v>
      </c>
      <c r="G217" s="10" t="s">
        <v>54</v>
      </c>
      <c r="H217" s="11">
        <v>-125</v>
      </c>
      <c r="I217" s="11">
        <v>-30</v>
      </c>
      <c r="J217" s="12" t="s">
        <v>413</v>
      </c>
      <c r="K217" s="36" t="s">
        <v>414</v>
      </c>
      <c r="L217" s="12" t="s">
        <v>449</v>
      </c>
      <c r="M217" s="40" t="s">
        <v>59</v>
      </c>
      <c r="O217" s="10" t="s">
        <v>60</v>
      </c>
      <c r="P217" s="10" t="s">
        <v>61</v>
      </c>
      <c r="S217" s="10">
        <v>98</v>
      </c>
      <c r="V217" s="10">
        <v>0</v>
      </c>
      <c r="W217" s="10">
        <v>8</v>
      </c>
      <c r="X217" s="10">
        <v>0</v>
      </c>
      <c r="AA217" s="10">
        <v>0</v>
      </c>
      <c r="AB217" s="10">
        <v>0</v>
      </c>
      <c r="AC217" s="10">
        <v>0</v>
      </c>
      <c r="AE217" s="10">
        <v>0</v>
      </c>
      <c r="AG217" s="14">
        <v>0</v>
      </c>
      <c r="AJ217" s="14">
        <v>0</v>
      </c>
      <c r="AK217" s="14">
        <v>0</v>
      </c>
      <c r="AL217" s="14">
        <v>0</v>
      </c>
      <c r="AM217" s="14">
        <v>0</v>
      </c>
      <c r="AO217" s="14">
        <v>0</v>
      </c>
      <c r="AP217" s="14"/>
      <c r="AQ217" s="14"/>
      <c r="AR217" s="14">
        <v>0</v>
      </c>
      <c r="AS217" s="14">
        <v>0</v>
      </c>
      <c r="AT217" s="14">
        <v>0</v>
      </c>
      <c r="AU217" s="14">
        <v>0</v>
      </c>
      <c r="AX217" s="16" t="s">
        <v>447</v>
      </c>
      <c r="AY217" s="16" t="s">
        <v>161</v>
      </c>
    </row>
    <row r="218" spans="1:51" x14ac:dyDescent="0.3">
      <c r="A218" s="34" t="s">
        <v>450</v>
      </c>
      <c r="B218" s="35" t="s">
        <v>451</v>
      </c>
      <c r="C218" s="8">
        <v>43.416666999999997</v>
      </c>
      <c r="D218" s="8">
        <v>6.233333</v>
      </c>
      <c r="E218" s="9">
        <v>162</v>
      </c>
      <c r="F218" t="s">
        <v>53</v>
      </c>
      <c r="G218" s="10" t="s">
        <v>54</v>
      </c>
      <c r="H218" s="11">
        <v>-30</v>
      </c>
      <c r="I218" s="11">
        <v>200</v>
      </c>
      <c r="J218" s="12" t="s">
        <v>413</v>
      </c>
      <c r="K218" s="36" t="s">
        <v>414</v>
      </c>
      <c r="L218" s="10" t="s">
        <v>415</v>
      </c>
      <c r="M218" s="37" t="s">
        <v>92</v>
      </c>
      <c r="O218" s="10" t="s">
        <v>60</v>
      </c>
      <c r="P218" s="10" t="s">
        <v>84</v>
      </c>
      <c r="S218" s="10">
        <v>0</v>
      </c>
      <c r="V218" s="10">
        <v>0</v>
      </c>
      <c r="W218" s="12">
        <v>8</v>
      </c>
      <c r="X218" s="10">
        <v>0</v>
      </c>
      <c r="AA218" s="10">
        <v>0</v>
      </c>
      <c r="AB218" s="10">
        <v>0</v>
      </c>
      <c r="AC218" s="10">
        <v>0</v>
      </c>
      <c r="AE218" s="10">
        <v>0</v>
      </c>
      <c r="AG218" s="14">
        <v>0</v>
      </c>
      <c r="AJ218" s="14">
        <v>0</v>
      </c>
      <c r="AK218" s="14">
        <v>0</v>
      </c>
      <c r="AL218" s="14">
        <v>0</v>
      </c>
      <c r="AM218" s="14">
        <v>0</v>
      </c>
      <c r="AO218" s="14">
        <v>0</v>
      </c>
      <c r="AP218" s="14"/>
      <c r="AQ218" s="14"/>
      <c r="AR218" s="14">
        <v>0</v>
      </c>
      <c r="AS218" s="14">
        <v>0</v>
      </c>
      <c r="AT218" s="14">
        <v>0</v>
      </c>
      <c r="AU218" s="14">
        <v>0</v>
      </c>
      <c r="AX218" s="38" t="s">
        <v>418</v>
      </c>
      <c r="AY218" s="38" t="s">
        <v>78</v>
      </c>
    </row>
    <row r="219" spans="1:51" x14ac:dyDescent="0.3">
      <c r="A219" s="43" t="s">
        <v>452</v>
      </c>
      <c r="B219" s="35" t="s">
        <v>451</v>
      </c>
      <c r="C219" s="8">
        <v>43.416666999999997</v>
      </c>
      <c r="D219" s="8">
        <v>6.233333</v>
      </c>
      <c r="E219" s="9">
        <v>162</v>
      </c>
      <c r="F219" t="s">
        <v>53</v>
      </c>
      <c r="G219" s="10" t="s">
        <v>54</v>
      </c>
      <c r="H219" s="11">
        <v>-30</v>
      </c>
      <c r="I219" s="11">
        <v>200</v>
      </c>
      <c r="J219" s="12" t="s">
        <v>413</v>
      </c>
      <c r="K219" s="36" t="s">
        <v>414</v>
      </c>
      <c r="L219" s="10" t="s">
        <v>415</v>
      </c>
      <c r="M219" s="18" t="s">
        <v>92</v>
      </c>
      <c r="O219" s="10" t="s">
        <v>60</v>
      </c>
      <c r="P219" s="10" t="s">
        <v>84</v>
      </c>
      <c r="S219" s="10">
        <v>0</v>
      </c>
      <c r="V219" s="10">
        <v>0</v>
      </c>
      <c r="W219" s="9">
        <v>5</v>
      </c>
      <c r="X219" s="10">
        <v>0</v>
      </c>
      <c r="AA219" s="10">
        <v>0</v>
      </c>
      <c r="AB219" s="10">
        <v>0</v>
      </c>
      <c r="AC219" s="10">
        <v>0</v>
      </c>
      <c r="AE219" s="10">
        <v>0</v>
      </c>
      <c r="AG219" s="14">
        <v>0</v>
      </c>
      <c r="AJ219" s="14">
        <v>0</v>
      </c>
      <c r="AK219" s="14">
        <v>0</v>
      </c>
      <c r="AL219" s="14">
        <v>0</v>
      </c>
      <c r="AM219" s="14">
        <v>0</v>
      </c>
      <c r="AO219" s="14">
        <v>0</v>
      </c>
      <c r="AP219" s="14"/>
      <c r="AQ219" s="14"/>
      <c r="AR219" s="14">
        <v>0</v>
      </c>
      <c r="AS219" s="14">
        <v>0</v>
      </c>
      <c r="AT219" s="14">
        <v>0</v>
      </c>
      <c r="AU219" s="14">
        <v>0</v>
      </c>
      <c r="AX219" s="38" t="s">
        <v>418</v>
      </c>
      <c r="AY219" s="38" t="s">
        <v>78</v>
      </c>
    </row>
    <row r="220" spans="1:51" x14ac:dyDescent="0.3">
      <c r="A220" s="34" t="s">
        <v>453</v>
      </c>
      <c r="B220" s="34" t="s">
        <v>454</v>
      </c>
      <c r="C220" s="8">
        <v>42.71</v>
      </c>
      <c r="D220" s="8">
        <v>3.01</v>
      </c>
      <c r="E220" s="9">
        <v>37</v>
      </c>
      <c r="F220" t="s">
        <v>53</v>
      </c>
      <c r="G220" s="10" t="s">
        <v>54</v>
      </c>
      <c r="H220" s="11">
        <v>-30</v>
      </c>
      <c r="I220" s="11">
        <v>200</v>
      </c>
      <c r="J220" s="12" t="s">
        <v>413</v>
      </c>
      <c r="K220" s="36" t="s">
        <v>414</v>
      </c>
      <c r="L220" s="10" t="s">
        <v>415</v>
      </c>
      <c r="M220" s="37" t="s">
        <v>59</v>
      </c>
      <c r="N220" s="10" t="s">
        <v>241</v>
      </c>
      <c r="O220" s="10" t="s">
        <v>60</v>
      </c>
      <c r="P220" s="10" t="s">
        <v>61</v>
      </c>
      <c r="S220" s="10">
        <v>8</v>
      </c>
      <c r="V220" s="10">
        <v>5</v>
      </c>
      <c r="W220" s="12">
        <v>3</v>
      </c>
      <c r="X220" s="10">
        <v>0</v>
      </c>
      <c r="AA220" s="10">
        <v>0</v>
      </c>
      <c r="AB220" s="10">
        <v>0</v>
      </c>
      <c r="AC220" s="10">
        <v>0</v>
      </c>
      <c r="AE220" s="14">
        <v>0</v>
      </c>
      <c r="AG220" s="14">
        <v>0</v>
      </c>
      <c r="AJ220" s="14">
        <v>0</v>
      </c>
      <c r="AK220" s="14">
        <v>0</v>
      </c>
      <c r="AL220" s="14">
        <v>0</v>
      </c>
      <c r="AM220" s="14">
        <v>0</v>
      </c>
      <c r="AO220" s="14">
        <v>0</v>
      </c>
      <c r="AP220" s="14"/>
      <c r="AQ220" s="14"/>
      <c r="AR220" s="14">
        <v>0</v>
      </c>
      <c r="AS220" s="14">
        <v>0</v>
      </c>
      <c r="AT220" s="14">
        <v>0</v>
      </c>
      <c r="AU220" s="14">
        <v>0</v>
      </c>
      <c r="AX220" s="16" t="s">
        <v>455</v>
      </c>
      <c r="AY220" s="16" t="s">
        <v>85</v>
      </c>
    </row>
    <row r="221" spans="1:51" x14ac:dyDescent="0.3">
      <c r="A221" s="34" t="s">
        <v>453</v>
      </c>
      <c r="B221" s="34" t="s">
        <v>454</v>
      </c>
      <c r="C221" s="8">
        <v>42.71</v>
      </c>
      <c r="D221" s="8">
        <v>3.01</v>
      </c>
      <c r="E221" s="9">
        <v>37</v>
      </c>
      <c r="F221" t="s">
        <v>53</v>
      </c>
      <c r="G221" s="10" t="s">
        <v>54</v>
      </c>
      <c r="H221" s="11">
        <v>-125</v>
      </c>
      <c r="I221" s="11">
        <v>-30</v>
      </c>
      <c r="J221" s="12" t="s">
        <v>413</v>
      </c>
      <c r="K221" s="36" t="s">
        <v>414</v>
      </c>
      <c r="L221" s="10" t="s">
        <v>449</v>
      </c>
      <c r="M221" s="37" t="s">
        <v>59</v>
      </c>
      <c r="N221" s="10" t="s">
        <v>241</v>
      </c>
      <c r="O221" s="10" t="s">
        <v>60</v>
      </c>
      <c r="P221" s="10" t="s">
        <v>61</v>
      </c>
      <c r="S221" s="10">
        <v>99</v>
      </c>
      <c r="V221" s="10">
        <v>645</v>
      </c>
      <c r="W221" s="12">
        <v>3</v>
      </c>
      <c r="X221" s="10">
        <v>0</v>
      </c>
      <c r="AA221" s="10">
        <v>0</v>
      </c>
      <c r="AB221" s="10">
        <v>0</v>
      </c>
      <c r="AC221" s="10">
        <v>0</v>
      </c>
      <c r="AE221" s="14">
        <v>0</v>
      </c>
      <c r="AG221" s="14">
        <v>1</v>
      </c>
      <c r="AJ221" s="14">
        <v>634</v>
      </c>
      <c r="AK221" s="14">
        <v>0</v>
      </c>
      <c r="AL221" s="14">
        <v>2</v>
      </c>
      <c r="AM221" s="14">
        <v>1</v>
      </c>
      <c r="AN221" s="10" t="s">
        <v>62</v>
      </c>
      <c r="AO221" s="14">
        <v>0</v>
      </c>
      <c r="AP221" s="14"/>
      <c r="AQ221" s="14"/>
      <c r="AR221" s="14">
        <v>0</v>
      </c>
      <c r="AS221" s="14">
        <v>0</v>
      </c>
      <c r="AT221" s="14">
        <v>0</v>
      </c>
      <c r="AU221" s="14">
        <v>0</v>
      </c>
      <c r="AX221" s="16" t="s">
        <v>455</v>
      </c>
      <c r="AY221" s="16" t="s">
        <v>85</v>
      </c>
    </row>
    <row r="222" spans="1:51" x14ac:dyDescent="0.3">
      <c r="A222" s="34" t="s">
        <v>456</v>
      </c>
      <c r="B222" s="34" t="s">
        <v>83</v>
      </c>
      <c r="C222" s="8">
        <v>42.733333000000002</v>
      </c>
      <c r="D222" s="8">
        <v>2.5666669999999998</v>
      </c>
      <c r="E222" s="9">
        <v>129</v>
      </c>
      <c r="F222" t="s">
        <v>53</v>
      </c>
      <c r="G222" s="10" t="s">
        <v>54</v>
      </c>
      <c r="H222" s="11">
        <v>-30</v>
      </c>
      <c r="I222" s="11">
        <v>200</v>
      </c>
      <c r="J222" s="12" t="s">
        <v>413</v>
      </c>
      <c r="K222" s="36" t="s">
        <v>414</v>
      </c>
      <c r="L222" s="10" t="s">
        <v>415</v>
      </c>
      <c r="M222" s="37" t="s">
        <v>59</v>
      </c>
      <c r="O222" s="10" t="s">
        <v>60</v>
      </c>
      <c r="P222" s="10" t="s">
        <v>61</v>
      </c>
      <c r="S222" s="10">
        <v>0</v>
      </c>
      <c r="V222" s="10">
        <v>0</v>
      </c>
      <c r="W222" s="12">
        <v>1</v>
      </c>
      <c r="X222" s="10">
        <v>0</v>
      </c>
      <c r="AA222" s="10">
        <v>0</v>
      </c>
      <c r="AB222" s="10">
        <v>0</v>
      </c>
      <c r="AC222" s="10">
        <v>0</v>
      </c>
      <c r="AE222" s="10">
        <v>0</v>
      </c>
      <c r="AG222" s="14">
        <v>0</v>
      </c>
      <c r="AJ222" s="14">
        <v>0</v>
      </c>
      <c r="AK222" s="14">
        <v>0</v>
      </c>
      <c r="AL222" s="14">
        <v>0</v>
      </c>
      <c r="AM222" s="14">
        <v>0</v>
      </c>
      <c r="AO222" s="14">
        <v>0</v>
      </c>
      <c r="AP222" s="14"/>
      <c r="AQ222" s="14"/>
      <c r="AR222" s="14">
        <v>0</v>
      </c>
      <c r="AS222" s="14">
        <v>0</v>
      </c>
      <c r="AT222" s="14">
        <v>0</v>
      </c>
      <c r="AU222" s="14">
        <v>0</v>
      </c>
      <c r="AX222" s="16" t="s">
        <v>457</v>
      </c>
      <c r="AY222" s="16" t="s">
        <v>85</v>
      </c>
    </row>
    <row r="223" spans="1:51" x14ac:dyDescent="0.3">
      <c r="A223" s="34" t="s">
        <v>458</v>
      </c>
      <c r="B223" s="34" t="s">
        <v>83</v>
      </c>
      <c r="C223" s="8">
        <v>42.733333000000002</v>
      </c>
      <c r="D223" s="8">
        <v>2.5666669999999998</v>
      </c>
      <c r="E223" s="9">
        <v>129</v>
      </c>
      <c r="F223" t="s">
        <v>53</v>
      </c>
      <c r="G223" s="10" t="s">
        <v>54</v>
      </c>
      <c r="H223" s="11">
        <v>-30</v>
      </c>
      <c r="I223" s="11">
        <v>200</v>
      </c>
      <c r="J223" s="12" t="s">
        <v>413</v>
      </c>
      <c r="K223" s="36" t="s">
        <v>414</v>
      </c>
      <c r="L223" s="10" t="s">
        <v>415</v>
      </c>
      <c r="M223" s="37" t="s">
        <v>59</v>
      </c>
      <c r="O223" s="10" t="s">
        <v>60</v>
      </c>
      <c r="P223" s="10" t="s">
        <v>61</v>
      </c>
      <c r="S223" s="10">
        <v>7</v>
      </c>
      <c r="V223" s="10">
        <v>0</v>
      </c>
      <c r="W223" s="12">
        <v>7</v>
      </c>
      <c r="X223" s="10">
        <v>0</v>
      </c>
      <c r="AA223" s="10">
        <v>0</v>
      </c>
      <c r="AB223" s="10">
        <v>0</v>
      </c>
      <c r="AC223" s="10">
        <v>0</v>
      </c>
      <c r="AE223" s="10">
        <v>0</v>
      </c>
      <c r="AG223" s="14">
        <v>0</v>
      </c>
      <c r="AJ223" s="14">
        <v>0</v>
      </c>
      <c r="AK223" s="14">
        <v>0</v>
      </c>
      <c r="AL223" s="14">
        <v>0</v>
      </c>
      <c r="AM223" s="14">
        <v>0</v>
      </c>
      <c r="AO223" s="14">
        <v>0</v>
      </c>
      <c r="AP223" s="14"/>
      <c r="AQ223" s="14"/>
      <c r="AR223" s="14">
        <v>0</v>
      </c>
      <c r="AS223" s="14">
        <v>0</v>
      </c>
      <c r="AT223" s="14">
        <v>0</v>
      </c>
      <c r="AU223" s="14">
        <v>0</v>
      </c>
      <c r="AX223" s="16" t="s">
        <v>457</v>
      </c>
      <c r="AY223" s="16" t="s">
        <v>85</v>
      </c>
    </row>
    <row r="224" spans="1:51" x14ac:dyDescent="0.3">
      <c r="A224" s="34" t="s">
        <v>459</v>
      </c>
      <c r="B224" s="35" t="s">
        <v>215</v>
      </c>
      <c r="C224" s="8">
        <v>43.216667000000001</v>
      </c>
      <c r="D224" s="8">
        <v>2.35</v>
      </c>
      <c r="E224" s="9">
        <v>129</v>
      </c>
      <c r="F224" t="s">
        <v>53</v>
      </c>
      <c r="G224" s="10" t="s">
        <v>54</v>
      </c>
      <c r="H224" s="11">
        <v>-30</v>
      </c>
      <c r="I224" s="11">
        <v>200</v>
      </c>
      <c r="J224" s="12" t="s">
        <v>413</v>
      </c>
      <c r="K224" s="36" t="s">
        <v>414</v>
      </c>
      <c r="L224" s="12" t="s">
        <v>415</v>
      </c>
      <c r="M224" s="44" t="s">
        <v>59</v>
      </c>
      <c r="O224" s="10" t="s">
        <v>60</v>
      </c>
      <c r="P224" s="10" t="s">
        <v>60</v>
      </c>
      <c r="S224" s="10">
        <v>0</v>
      </c>
      <c r="V224" s="10">
        <v>0</v>
      </c>
      <c r="W224" s="45">
        <v>2</v>
      </c>
      <c r="X224" s="10">
        <v>0</v>
      </c>
      <c r="AA224" s="10">
        <v>0</v>
      </c>
      <c r="AB224" s="10">
        <v>0</v>
      </c>
      <c r="AC224" s="10">
        <v>0</v>
      </c>
      <c r="AE224" s="10">
        <v>0</v>
      </c>
      <c r="AG224" s="14">
        <v>0</v>
      </c>
      <c r="AJ224" s="14">
        <v>0</v>
      </c>
      <c r="AK224" s="14">
        <v>0</v>
      </c>
      <c r="AL224" s="14">
        <v>0</v>
      </c>
      <c r="AM224" s="14">
        <v>0</v>
      </c>
      <c r="AO224" s="14">
        <v>0</v>
      </c>
      <c r="AP224" s="14"/>
      <c r="AQ224" s="14"/>
      <c r="AR224" s="14">
        <v>0</v>
      </c>
      <c r="AS224" s="14">
        <v>0</v>
      </c>
      <c r="AT224" s="14">
        <v>0</v>
      </c>
      <c r="AU224" s="14">
        <v>0</v>
      </c>
      <c r="AX224" s="38" t="s">
        <v>460</v>
      </c>
      <c r="AY224" s="38" t="s">
        <v>131</v>
      </c>
    </row>
    <row r="225" spans="1:51" x14ac:dyDescent="0.3">
      <c r="A225" s="34" t="s">
        <v>461</v>
      </c>
      <c r="B225" s="35" t="s">
        <v>462</v>
      </c>
      <c r="C225" s="8">
        <v>43.966667000000001</v>
      </c>
      <c r="D225" s="8">
        <v>4.55</v>
      </c>
      <c r="E225" s="9">
        <v>150</v>
      </c>
      <c r="F225" t="s">
        <v>53</v>
      </c>
      <c r="G225" s="10" t="s">
        <v>54</v>
      </c>
      <c r="H225" s="11">
        <v>-30</v>
      </c>
      <c r="I225" s="11">
        <v>200</v>
      </c>
      <c r="J225" s="12" t="s">
        <v>413</v>
      </c>
      <c r="K225" s="36" t="s">
        <v>414</v>
      </c>
      <c r="L225" s="10" t="s">
        <v>415</v>
      </c>
      <c r="M225" s="37" t="s">
        <v>59</v>
      </c>
      <c r="O225" s="10" t="s">
        <v>60</v>
      </c>
      <c r="P225" s="10" t="s">
        <v>61</v>
      </c>
      <c r="S225" s="10">
        <v>2</v>
      </c>
      <c r="V225" s="10">
        <v>6</v>
      </c>
      <c r="W225" s="12">
        <v>2</v>
      </c>
      <c r="X225" s="10">
        <v>0</v>
      </c>
      <c r="AA225" s="10">
        <v>0</v>
      </c>
      <c r="AB225" s="10">
        <v>0</v>
      </c>
      <c r="AC225" s="10">
        <v>0</v>
      </c>
      <c r="AE225" s="10">
        <v>0</v>
      </c>
      <c r="AG225" s="14">
        <v>0</v>
      </c>
      <c r="AJ225" s="14">
        <v>0</v>
      </c>
      <c r="AK225" s="14">
        <v>0</v>
      </c>
      <c r="AL225" s="14">
        <v>0</v>
      </c>
      <c r="AM225" s="14">
        <v>0</v>
      </c>
      <c r="AO225" s="14">
        <v>0</v>
      </c>
      <c r="AP225" s="14"/>
      <c r="AQ225" s="14"/>
      <c r="AR225" s="14">
        <v>0</v>
      </c>
      <c r="AS225" s="14">
        <v>0</v>
      </c>
      <c r="AT225" s="14">
        <v>0</v>
      </c>
      <c r="AU225" s="14">
        <v>0</v>
      </c>
      <c r="AX225" s="38" t="s">
        <v>463</v>
      </c>
      <c r="AY225" s="38" t="s">
        <v>350</v>
      </c>
    </row>
    <row r="226" spans="1:51" x14ac:dyDescent="0.3">
      <c r="A226" s="46" t="s">
        <v>464</v>
      </c>
      <c r="B226" s="35" t="s">
        <v>465</v>
      </c>
      <c r="C226" s="39">
        <v>43.838999999999999</v>
      </c>
      <c r="D226" s="39">
        <v>5.0439999999999996</v>
      </c>
      <c r="E226" s="9">
        <v>49</v>
      </c>
      <c r="F226" t="s">
        <v>53</v>
      </c>
      <c r="G226" s="10" t="s">
        <v>54</v>
      </c>
      <c r="H226" s="11">
        <v>-30</v>
      </c>
      <c r="I226" s="11">
        <v>200</v>
      </c>
      <c r="J226" s="12" t="s">
        <v>413</v>
      </c>
      <c r="K226" s="36" t="s">
        <v>414</v>
      </c>
      <c r="L226" s="10" t="s">
        <v>415</v>
      </c>
      <c r="M226" s="37" t="s">
        <v>466</v>
      </c>
      <c r="O226" s="10" t="s">
        <v>60</v>
      </c>
      <c r="P226" s="10" t="s">
        <v>61</v>
      </c>
      <c r="S226" s="10">
        <v>26</v>
      </c>
      <c r="V226" s="10">
        <v>4</v>
      </c>
      <c r="W226" s="12">
        <v>2</v>
      </c>
      <c r="X226" s="10">
        <v>0</v>
      </c>
      <c r="AA226" s="10">
        <v>0</v>
      </c>
      <c r="AB226" s="10">
        <v>0</v>
      </c>
      <c r="AC226" s="10">
        <v>0</v>
      </c>
      <c r="AE226" s="14">
        <v>0</v>
      </c>
      <c r="AG226" s="14">
        <v>0</v>
      </c>
      <c r="AJ226" s="14">
        <v>0</v>
      </c>
      <c r="AK226" s="14">
        <v>0</v>
      </c>
      <c r="AL226" s="14">
        <v>0</v>
      </c>
      <c r="AM226" s="14">
        <v>0</v>
      </c>
      <c r="AO226" s="14">
        <v>0</v>
      </c>
      <c r="AP226" s="14"/>
      <c r="AQ226" s="14"/>
      <c r="AR226" s="14">
        <v>0</v>
      </c>
      <c r="AS226" s="14">
        <v>0</v>
      </c>
      <c r="AT226" s="14">
        <v>0</v>
      </c>
      <c r="AU226" s="14">
        <v>0</v>
      </c>
      <c r="AX226" s="16" t="s">
        <v>467</v>
      </c>
      <c r="AY226" s="16" t="s">
        <v>256</v>
      </c>
    </row>
    <row r="227" spans="1:51" x14ac:dyDescent="0.3">
      <c r="A227" s="34" t="s">
        <v>468</v>
      </c>
      <c r="B227" s="34" t="s">
        <v>469</v>
      </c>
      <c r="C227" s="8">
        <v>42.483333000000002</v>
      </c>
      <c r="D227" s="8">
        <v>2.75</v>
      </c>
      <c r="E227" s="9">
        <v>154</v>
      </c>
      <c r="F227" t="s">
        <v>53</v>
      </c>
      <c r="G227" s="10" t="s">
        <v>54</v>
      </c>
      <c r="H227" s="11">
        <v>-30</v>
      </c>
      <c r="I227" s="11">
        <v>200</v>
      </c>
      <c r="J227" s="12" t="s">
        <v>413</v>
      </c>
      <c r="K227" s="36" t="s">
        <v>414</v>
      </c>
      <c r="L227" s="10" t="s">
        <v>415</v>
      </c>
      <c r="M227" s="37" t="s">
        <v>59</v>
      </c>
      <c r="O227" s="10" t="s">
        <v>60</v>
      </c>
      <c r="P227" s="10" t="s">
        <v>61</v>
      </c>
      <c r="S227" s="10">
        <v>1</v>
      </c>
      <c r="V227" s="10">
        <v>0</v>
      </c>
      <c r="W227" s="12">
        <v>2</v>
      </c>
      <c r="X227" s="10">
        <v>0</v>
      </c>
      <c r="AA227" s="10">
        <v>0</v>
      </c>
      <c r="AB227" s="10">
        <v>0</v>
      </c>
      <c r="AC227" s="10">
        <v>0</v>
      </c>
      <c r="AE227" s="14">
        <v>0</v>
      </c>
      <c r="AG227" s="14">
        <v>0</v>
      </c>
      <c r="AJ227" s="14">
        <v>0</v>
      </c>
      <c r="AK227" s="14">
        <v>0</v>
      </c>
      <c r="AL227" s="14">
        <v>0</v>
      </c>
      <c r="AM227" s="14">
        <v>0</v>
      </c>
      <c r="AO227" s="14">
        <v>0</v>
      </c>
      <c r="AP227" s="14"/>
      <c r="AQ227" s="14"/>
      <c r="AR227" s="14">
        <v>0</v>
      </c>
      <c r="AS227" s="14">
        <v>0</v>
      </c>
      <c r="AT227" s="14">
        <v>0</v>
      </c>
      <c r="AU227" s="14">
        <v>0</v>
      </c>
      <c r="AX227" s="16" t="s">
        <v>457</v>
      </c>
      <c r="AY227" s="16" t="s">
        <v>85</v>
      </c>
    </row>
    <row r="228" spans="1:51" x14ac:dyDescent="0.3">
      <c r="A228" s="34" t="s">
        <v>470</v>
      </c>
      <c r="B228" s="34" t="s">
        <v>471</v>
      </c>
      <c r="C228" s="8">
        <v>42.75</v>
      </c>
      <c r="D228" s="8">
        <v>2.57</v>
      </c>
      <c r="E228" s="9">
        <v>170</v>
      </c>
      <c r="F228" t="s">
        <v>53</v>
      </c>
      <c r="G228" s="10" t="s">
        <v>54</v>
      </c>
      <c r="H228" s="11">
        <v>-30</v>
      </c>
      <c r="I228" s="11">
        <v>200</v>
      </c>
      <c r="J228" s="12" t="s">
        <v>413</v>
      </c>
      <c r="K228" s="36" t="s">
        <v>414</v>
      </c>
      <c r="L228" s="10" t="s">
        <v>415</v>
      </c>
      <c r="M228" s="37" t="s">
        <v>59</v>
      </c>
      <c r="O228" s="10" t="s">
        <v>60</v>
      </c>
      <c r="P228" s="10" t="s">
        <v>61</v>
      </c>
      <c r="S228" s="10">
        <v>1</v>
      </c>
      <c r="V228" s="10">
        <v>0</v>
      </c>
      <c r="W228" s="12">
        <v>1</v>
      </c>
      <c r="X228" s="10">
        <v>0</v>
      </c>
      <c r="AA228" s="10">
        <v>0</v>
      </c>
      <c r="AB228" s="10">
        <v>0</v>
      </c>
      <c r="AC228" s="10">
        <v>0</v>
      </c>
      <c r="AE228" s="14">
        <v>0</v>
      </c>
      <c r="AG228" s="14">
        <v>0</v>
      </c>
      <c r="AJ228" s="14">
        <v>0</v>
      </c>
      <c r="AK228" s="14">
        <v>0</v>
      </c>
      <c r="AL228" s="14">
        <v>0</v>
      </c>
      <c r="AM228" s="14">
        <v>0</v>
      </c>
      <c r="AO228" s="14">
        <v>0</v>
      </c>
      <c r="AP228" s="14"/>
      <c r="AQ228" s="14"/>
      <c r="AR228" s="14">
        <v>0</v>
      </c>
      <c r="AS228" s="14">
        <v>0</v>
      </c>
      <c r="AT228" s="14">
        <v>0</v>
      </c>
      <c r="AU228" s="14">
        <v>0</v>
      </c>
      <c r="AX228" s="16" t="s">
        <v>472</v>
      </c>
      <c r="AY228" s="16" t="s">
        <v>85</v>
      </c>
    </row>
    <row r="229" spans="1:51" x14ac:dyDescent="0.3">
      <c r="A229" s="34" t="s">
        <v>473</v>
      </c>
      <c r="B229" s="35" t="s">
        <v>326</v>
      </c>
      <c r="C229" s="8">
        <v>44.733566590000002</v>
      </c>
      <c r="D229" s="8">
        <v>5.0221758410000001</v>
      </c>
      <c r="E229" s="9">
        <v>248</v>
      </c>
      <c r="F229" t="s">
        <v>53</v>
      </c>
      <c r="G229" s="10" t="s">
        <v>54</v>
      </c>
      <c r="H229" s="11">
        <v>-30</v>
      </c>
      <c r="I229" s="11">
        <v>200</v>
      </c>
      <c r="J229" s="12" t="s">
        <v>413</v>
      </c>
      <c r="K229" s="36" t="s">
        <v>414</v>
      </c>
      <c r="L229" s="12" t="s">
        <v>415</v>
      </c>
      <c r="M229" s="37" t="s">
        <v>59</v>
      </c>
      <c r="N229" s="10" t="s">
        <v>241</v>
      </c>
      <c r="O229" s="10" t="s">
        <v>60</v>
      </c>
      <c r="P229" s="10" t="s">
        <v>61</v>
      </c>
      <c r="S229" s="10">
        <v>88</v>
      </c>
      <c r="V229" s="10">
        <v>67</v>
      </c>
      <c r="W229" s="12">
        <v>2</v>
      </c>
      <c r="X229" s="10">
        <v>0</v>
      </c>
      <c r="AA229" s="10">
        <v>0</v>
      </c>
      <c r="AB229" s="10">
        <v>0</v>
      </c>
      <c r="AC229" s="10">
        <v>0</v>
      </c>
      <c r="AE229" s="10">
        <v>0</v>
      </c>
      <c r="AG229" s="14">
        <v>0</v>
      </c>
      <c r="AJ229" s="14">
        <v>0</v>
      </c>
      <c r="AK229" s="14">
        <v>0</v>
      </c>
      <c r="AL229" s="14">
        <v>0</v>
      </c>
      <c r="AM229" s="14">
        <v>0</v>
      </c>
      <c r="AO229" s="14">
        <v>0</v>
      </c>
      <c r="AP229" s="14"/>
      <c r="AQ229" s="14"/>
      <c r="AR229" s="14">
        <v>0</v>
      </c>
      <c r="AS229" s="14">
        <v>0</v>
      </c>
      <c r="AT229" s="14">
        <v>0</v>
      </c>
      <c r="AU229" s="14">
        <v>0</v>
      </c>
      <c r="AX229" s="16" t="s">
        <v>416</v>
      </c>
      <c r="AY229" s="16" t="s">
        <v>68</v>
      </c>
    </row>
    <row r="230" spans="1:51" x14ac:dyDescent="0.3">
      <c r="A230" s="34" t="s">
        <v>474</v>
      </c>
      <c r="B230" s="34" t="s">
        <v>330</v>
      </c>
      <c r="C230" s="8">
        <v>42.6</v>
      </c>
      <c r="D230" s="8">
        <v>2.9666670000000002</v>
      </c>
      <c r="E230" s="9">
        <v>61</v>
      </c>
      <c r="F230" t="s">
        <v>53</v>
      </c>
      <c r="G230" s="10" t="s">
        <v>54</v>
      </c>
      <c r="H230" s="11">
        <v>-30</v>
      </c>
      <c r="I230" s="11">
        <v>200</v>
      </c>
      <c r="J230" s="12" t="s">
        <v>413</v>
      </c>
      <c r="K230" s="36" t="s">
        <v>414</v>
      </c>
      <c r="L230" s="10" t="s">
        <v>415</v>
      </c>
      <c r="M230" s="37" t="s">
        <v>59</v>
      </c>
      <c r="O230" s="10" t="s">
        <v>60</v>
      </c>
      <c r="P230" s="10" t="s">
        <v>61</v>
      </c>
      <c r="S230" s="10">
        <v>6</v>
      </c>
      <c r="V230" s="10">
        <v>0</v>
      </c>
      <c r="W230" s="12">
        <v>1</v>
      </c>
      <c r="X230" s="10">
        <v>0</v>
      </c>
      <c r="AA230" s="10">
        <v>0</v>
      </c>
      <c r="AB230" s="10">
        <v>0</v>
      </c>
      <c r="AC230" s="10">
        <v>0</v>
      </c>
      <c r="AE230" s="10">
        <v>0</v>
      </c>
      <c r="AG230" s="14">
        <v>0</v>
      </c>
      <c r="AJ230" s="14">
        <v>0</v>
      </c>
      <c r="AK230" s="14">
        <v>0</v>
      </c>
      <c r="AL230" s="14">
        <v>0</v>
      </c>
      <c r="AM230" s="14">
        <v>0</v>
      </c>
      <c r="AO230" s="14">
        <v>0</v>
      </c>
      <c r="AP230" s="14"/>
      <c r="AQ230" s="14"/>
      <c r="AR230" s="14">
        <v>0</v>
      </c>
      <c r="AS230" s="14">
        <v>0</v>
      </c>
      <c r="AT230" s="14">
        <v>0</v>
      </c>
      <c r="AU230" s="14">
        <v>0</v>
      </c>
      <c r="AX230" s="16" t="s">
        <v>455</v>
      </c>
      <c r="AY230" s="16" t="s">
        <v>85</v>
      </c>
    </row>
    <row r="231" spans="1:51" x14ac:dyDescent="0.3">
      <c r="A231" s="34" t="s">
        <v>475</v>
      </c>
      <c r="B231" s="35" t="s">
        <v>476</v>
      </c>
      <c r="C231" s="39">
        <v>43.432000000000002</v>
      </c>
      <c r="D231" s="39">
        <v>6.7389999999999999</v>
      </c>
      <c r="E231" s="9">
        <v>3</v>
      </c>
      <c r="F231" t="s">
        <v>53</v>
      </c>
      <c r="G231" s="10" t="s">
        <v>54</v>
      </c>
      <c r="H231" s="11">
        <v>-30</v>
      </c>
      <c r="I231" s="11">
        <v>200</v>
      </c>
      <c r="J231" s="12" t="s">
        <v>413</v>
      </c>
      <c r="K231" s="36" t="s">
        <v>414</v>
      </c>
      <c r="L231" s="10" t="s">
        <v>415</v>
      </c>
      <c r="M231" s="37" t="s">
        <v>421</v>
      </c>
      <c r="O231" s="10" t="s">
        <v>60</v>
      </c>
      <c r="P231" s="10" t="s">
        <v>61</v>
      </c>
      <c r="S231" s="10">
        <v>18</v>
      </c>
      <c r="V231" s="10">
        <v>8</v>
      </c>
      <c r="W231" s="12">
        <v>31</v>
      </c>
      <c r="X231" s="10">
        <v>0</v>
      </c>
      <c r="AA231" s="10">
        <v>0</v>
      </c>
      <c r="AB231" s="10">
        <v>0</v>
      </c>
      <c r="AC231" s="10">
        <v>0</v>
      </c>
      <c r="AE231" s="10">
        <v>0</v>
      </c>
      <c r="AG231" s="14">
        <v>0</v>
      </c>
      <c r="AJ231" s="14">
        <v>0</v>
      </c>
      <c r="AK231" s="14">
        <v>0</v>
      </c>
      <c r="AL231" s="14">
        <v>0</v>
      </c>
      <c r="AM231" s="14">
        <v>0</v>
      </c>
      <c r="AO231" s="14">
        <v>0</v>
      </c>
      <c r="AP231" s="14"/>
      <c r="AQ231" s="14"/>
      <c r="AR231" s="14">
        <v>0</v>
      </c>
      <c r="AS231" s="14">
        <v>0</v>
      </c>
      <c r="AT231" s="14">
        <v>0</v>
      </c>
      <c r="AU231" s="14">
        <v>0</v>
      </c>
      <c r="AX231" s="38" t="s">
        <v>477</v>
      </c>
      <c r="AY231" s="38" t="s">
        <v>427</v>
      </c>
    </row>
    <row r="232" spans="1:51" x14ac:dyDescent="0.3">
      <c r="A232" s="34" t="s">
        <v>478</v>
      </c>
      <c r="B232" s="35" t="s">
        <v>476</v>
      </c>
      <c r="C232" s="39">
        <v>43.432000000000002</v>
      </c>
      <c r="D232" s="39">
        <v>6.7389999999999999</v>
      </c>
      <c r="E232" s="9">
        <v>3</v>
      </c>
      <c r="F232" t="s">
        <v>53</v>
      </c>
      <c r="G232" s="10" t="s">
        <v>54</v>
      </c>
      <c r="H232" s="11">
        <v>-30</v>
      </c>
      <c r="I232" s="11">
        <v>200</v>
      </c>
      <c r="J232" s="12" t="s">
        <v>413</v>
      </c>
      <c r="K232" s="36" t="s">
        <v>414</v>
      </c>
      <c r="L232" s="10" t="s">
        <v>415</v>
      </c>
      <c r="M232" s="37" t="s">
        <v>92</v>
      </c>
      <c r="O232" s="10" t="s">
        <v>60</v>
      </c>
      <c r="P232" s="10" t="s">
        <v>60</v>
      </c>
      <c r="S232" s="10">
        <v>1</v>
      </c>
      <c r="V232" s="10">
        <v>0</v>
      </c>
      <c r="W232" s="12">
        <v>11</v>
      </c>
      <c r="X232" s="10">
        <v>0</v>
      </c>
      <c r="AA232" s="10">
        <v>0</v>
      </c>
      <c r="AB232" s="10">
        <v>0</v>
      </c>
      <c r="AC232" s="10">
        <v>0</v>
      </c>
      <c r="AE232" s="10">
        <v>0</v>
      </c>
      <c r="AG232" s="14">
        <v>0</v>
      </c>
      <c r="AJ232" s="14">
        <v>0</v>
      </c>
      <c r="AK232" s="14">
        <v>0</v>
      </c>
      <c r="AL232" s="14">
        <v>0</v>
      </c>
      <c r="AM232" s="14">
        <v>0</v>
      </c>
      <c r="AO232" s="14">
        <v>0</v>
      </c>
      <c r="AP232" s="14"/>
      <c r="AQ232" s="14"/>
      <c r="AR232" s="14">
        <v>0</v>
      </c>
      <c r="AS232" s="14">
        <v>0</v>
      </c>
      <c r="AT232" s="14">
        <v>0</v>
      </c>
      <c r="AU232" s="14">
        <v>0</v>
      </c>
      <c r="AX232" s="38" t="s">
        <v>418</v>
      </c>
      <c r="AY232" s="38" t="s">
        <v>78</v>
      </c>
    </row>
    <row r="233" spans="1:51" x14ac:dyDescent="0.3">
      <c r="A233" s="34" t="s">
        <v>479</v>
      </c>
      <c r="B233" s="35" t="s">
        <v>476</v>
      </c>
      <c r="C233" s="39">
        <v>43.432000000000002</v>
      </c>
      <c r="D233" s="39">
        <v>6.7389999999999999</v>
      </c>
      <c r="E233" s="9">
        <v>3</v>
      </c>
      <c r="F233" t="s">
        <v>53</v>
      </c>
      <c r="G233" s="10" t="s">
        <v>54</v>
      </c>
      <c r="H233" s="11">
        <v>-30</v>
      </c>
      <c r="I233" s="11">
        <v>200</v>
      </c>
      <c r="J233" s="12" t="s">
        <v>413</v>
      </c>
      <c r="K233" s="36" t="s">
        <v>414</v>
      </c>
      <c r="L233" s="10" t="s">
        <v>415</v>
      </c>
      <c r="M233" s="37" t="s">
        <v>92</v>
      </c>
      <c r="O233" s="10" t="s">
        <v>60</v>
      </c>
      <c r="P233" s="10" t="s">
        <v>84</v>
      </c>
      <c r="S233" s="10">
        <v>0</v>
      </c>
      <c r="V233" s="10">
        <v>0</v>
      </c>
      <c r="W233" s="12">
        <v>12</v>
      </c>
      <c r="X233" s="10">
        <v>0</v>
      </c>
      <c r="AA233" s="10">
        <v>0</v>
      </c>
      <c r="AB233" s="10">
        <v>0</v>
      </c>
      <c r="AC233" s="10">
        <v>0</v>
      </c>
      <c r="AE233" s="14">
        <v>0</v>
      </c>
      <c r="AG233" s="14">
        <v>0</v>
      </c>
      <c r="AJ233" s="14">
        <v>0</v>
      </c>
      <c r="AK233" s="14">
        <v>0</v>
      </c>
      <c r="AL233" s="14">
        <v>0</v>
      </c>
      <c r="AM233" s="14">
        <v>0</v>
      </c>
      <c r="AO233" s="14">
        <v>0</v>
      </c>
      <c r="AP233" s="14"/>
      <c r="AQ233" s="14"/>
      <c r="AR233" s="14">
        <v>0</v>
      </c>
      <c r="AS233" s="14">
        <v>0</v>
      </c>
      <c r="AT233" s="14">
        <v>0</v>
      </c>
      <c r="AU233" s="14">
        <v>0</v>
      </c>
      <c r="AX233" s="38" t="s">
        <v>418</v>
      </c>
      <c r="AY233" s="38" t="s">
        <v>78</v>
      </c>
    </row>
    <row r="234" spans="1:51" ht="28.8" x14ac:dyDescent="0.3">
      <c r="A234" s="16" t="s">
        <v>480</v>
      </c>
      <c r="B234" s="38" t="s">
        <v>476</v>
      </c>
      <c r="C234" s="25">
        <v>43.432000000000002</v>
      </c>
      <c r="D234" s="25">
        <v>6.7389999999999999</v>
      </c>
      <c r="E234" s="9">
        <v>3</v>
      </c>
      <c r="F234" s="15" t="s">
        <v>53</v>
      </c>
      <c r="G234" s="14" t="s">
        <v>54</v>
      </c>
      <c r="H234" s="28">
        <v>-30</v>
      </c>
      <c r="I234" s="28">
        <v>200</v>
      </c>
      <c r="J234" s="18" t="s">
        <v>413</v>
      </c>
      <c r="K234" s="41" t="s">
        <v>414</v>
      </c>
      <c r="L234" s="18" t="s">
        <v>415</v>
      </c>
      <c r="M234" s="18" t="s">
        <v>466</v>
      </c>
      <c r="N234" s="14"/>
      <c r="O234" s="14" t="s">
        <v>60</v>
      </c>
      <c r="P234" s="14" t="s">
        <v>61</v>
      </c>
      <c r="Q234" s="15"/>
      <c r="R234" s="15"/>
      <c r="S234" s="14">
        <v>3</v>
      </c>
      <c r="T234" s="15"/>
      <c r="U234" s="15"/>
      <c r="V234" s="10">
        <v>0</v>
      </c>
      <c r="W234" s="18">
        <v>4</v>
      </c>
      <c r="X234" s="14">
        <v>0</v>
      </c>
      <c r="Y234" s="14"/>
      <c r="Z234" s="14"/>
      <c r="AA234" s="14">
        <v>0</v>
      </c>
      <c r="AB234" s="14">
        <v>0</v>
      </c>
      <c r="AC234" s="14">
        <v>0</v>
      </c>
      <c r="AD234" s="14"/>
      <c r="AE234" s="14">
        <v>0</v>
      </c>
      <c r="AF234" s="14"/>
      <c r="AG234" s="14">
        <v>0</v>
      </c>
      <c r="AH234" s="14"/>
      <c r="AI234" s="14"/>
      <c r="AJ234" s="14">
        <v>0</v>
      </c>
      <c r="AK234" s="14">
        <v>0</v>
      </c>
      <c r="AL234" s="14">
        <v>0</v>
      </c>
      <c r="AM234" s="14">
        <v>0</v>
      </c>
      <c r="AO234" s="14">
        <v>0</v>
      </c>
      <c r="AP234" s="14"/>
      <c r="AQ234" s="14"/>
      <c r="AR234" s="14">
        <v>0</v>
      </c>
      <c r="AS234" s="14">
        <v>0</v>
      </c>
      <c r="AT234" s="14">
        <v>0</v>
      </c>
      <c r="AU234" s="14">
        <v>0</v>
      </c>
      <c r="AW234" s="15"/>
      <c r="AX234" s="38" t="s">
        <v>481</v>
      </c>
      <c r="AY234" s="38" t="s">
        <v>482</v>
      </c>
    </row>
    <row r="235" spans="1:51" x14ac:dyDescent="0.3">
      <c r="A235" s="34" t="s">
        <v>483</v>
      </c>
      <c r="B235" s="35" t="s">
        <v>484</v>
      </c>
      <c r="C235" s="8">
        <v>45.65</v>
      </c>
      <c r="D235" s="8">
        <v>5.1833330000000002</v>
      </c>
      <c r="E235" s="9">
        <v>207</v>
      </c>
      <c r="F235" t="s">
        <v>53</v>
      </c>
      <c r="G235" s="10" t="s">
        <v>54</v>
      </c>
      <c r="H235" s="11">
        <v>-30</v>
      </c>
      <c r="I235" s="11">
        <v>200</v>
      </c>
      <c r="J235" s="12" t="s">
        <v>413</v>
      </c>
      <c r="K235" s="36" t="s">
        <v>414</v>
      </c>
      <c r="L235" s="12" t="s">
        <v>415</v>
      </c>
      <c r="M235" s="37" t="s">
        <v>466</v>
      </c>
      <c r="O235" s="10" t="s">
        <v>60</v>
      </c>
      <c r="P235" s="10" t="s">
        <v>61</v>
      </c>
      <c r="S235" s="10">
        <v>10</v>
      </c>
      <c r="V235" s="10">
        <v>0</v>
      </c>
      <c r="W235" s="12">
        <v>4</v>
      </c>
      <c r="X235" s="10">
        <v>0</v>
      </c>
      <c r="AA235" s="10">
        <v>0</v>
      </c>
      <c r="AB235" s="10">
        <v>0</v>
      </c>
      <c r="AC235" s="10">
        <v>0</v>
      </c>
      <c r="AE235" s="10">
        <v>0</v>
      </c>
      <c r="AG235" s="14">
        <v>0</v>
      </c>
      <c r="AJ235" s="14">
        <v>0</v>
      </c>
      <c r="AK235" s="14">
        <v>0</v>
      </c>
      <c r="AL235" s="14">
        <v>0</v>
      </c>
      <c r="AM235" s="14">
        <v>0</v>
      </c>
      <c r="AO235" s="14">
        <v>0</v>
      </c>
      <c r="AP235" s="14"/>
      <c r="AQ235" s="14"/>
      <c r="AR235" s="14">
        <v>0</v>
      </c>
      <c r="AS235" s="14">
        <v>0</v>
      </c>
      <c r="AT235" s="14">
        <v>0</v>
      </c>
      <c r="AU235" s="14">
        <v>0</v>
      </c>
      <c r="AX235" s="16" t="s">
        <v>416</v>
      </c>
      <c r="AY235" s="16" t="s">
        <v>68</v>
      </c>
    </row>
    <row r="236" spans="1:51" x14ac:dyDescent="0.3">
      <c r="A236" s="42" t="s">
        <v>485</v>
      </c>
      <c r="B236" s="42" t="s">
        <v>486</v>
      </c>
      <c r="C236" s="8">
        <v>43.85</v>
      </c>
      <c r="D236" s="8">
        <v>4.766667</v>
      </c>
      <c r="E236" s="9">
        <v>135</v>
      </c>
      <c r="F236" t="s">
        <v>53</v>
      </c>
      <c r="G236" s="10" t="s">
        <v>54</v>
      </c>
      <c r="H236" s="11">
        <v>-30</v>
      </c>
      <c r="I236" s="11">
        <v>200</v>
      </c>
      <c r="J236" s="12" t="s">
        <v>413</v>
      </c>
      <c r="K236" s="36" t="s">
        <v>414</v>
      </c>
      <c r="L236" s="12" t="s">
        <v>415</v>
      </c>
      <c r="M236" s="40" t="s">
        <v>92</v>
      </c>
      <c r="O236" s="10" t="s">
        <v>60</v>
      </c>
      <c r="P236" s="10" t="s">
        <v>61</v>
      </c>
      <c r="S236" s="10">
        <v>10</v>
      </c>
      <c r="V236" s="10">
        <v>433</v>
      </c>
      <c r="W236" s="10">
        <v>11</v>
      </c>
      <c r="X236" s="10">
        <v>0</v>
      </c>
      <c r="AA236" s="10">
        <v>0</v>
      </c>
      <c r="AB236" s="10">
        <v>0</v>
      </c>
      <c r="AC236" s="10">
        <v>0</v>
      </c>
      <c r="AE236" s="14">
        <v>0</v>
      </c>
      <c r="AG236" s="14">
        <v>0</v>
      </c>
      <c r="AJ236" s="14">
        <v>0</v>
      </c>
      <c r="AK236" s="14">
        <v>0</v>
      </c>
      <c r="AL236" s="14">
        <v>0</v>
      </c>
      <c r="AM236" s="14">
        <v>0</v>
      </c>
      <c r="AO236" s="14">
        <v>0</v>
      </c>
      <c r="AP236" s="14"/>
      <c r="AQ236" s="14"/>
      <c r="AR236" s="14">
        <v>0</v>
      </c>
      <c r="AS236" s="14">
        <v>0</v>
      </c>
      <c r="AT236" s="14">
        <v>0</v>
      </c>
      <c r="AU236" s="14">
        <v>0</v>
      </c>
      <c r="AX236" s="15" t="s">
        <v>442</v>
      </c>
      <c r="AY236" s="15" t="s">
        <v>350</v>
      </c>
    </row>
    <row r="237" spans="1:51" x14ac:dyDescent="0.3">
      <c r="A237" s="42" t="s">
        <v>487</v>
      </c>
      <c r="B237" s="35" t="s">
        <v>488</v>
      </c>
      <c r="C237" s="8">
        <v>43.1</v>
      </c>
      <c r="D237" s="8">
        <v>3.0833330000000001</v>
      </c>
      <c r="E237" s="9">
        <v>5</v>
      </c>
      <c r="F237" t="s">
        <v>53</v>
      </c>
      <c r="G237" s="10" t="s">
        <v>54</v>
      </c>
      <c r="H237" s="11">
        <v>-30</v>
      </c>
      <c r="I237" s="11">
        <v>200</v>
      </c>
      <c r="J237" s="12" t="s">
        <v>413</v>
      </c>
      <c r="K237" s="36" t="s">
        <v>414</v>
      </c>
      <c r="L237" s="10" t="s">
        <v>415</v>
      </c>
      <c r="M237" s="40" t="s">
        <v>59</v>
      </c>
      <c r="O237" s="10" t="s">
        <v>60</v>
      </c>
      <c r="P237" s="10" t="s">
        <v>61</v>
      </c>
      <c r="S237" s="10">
        <v>273</v>
      </c>
      <c r="V237" s="10">
        <v>16</v>
      </c>
      <c r="W237" s="10">
        <v>15</v>
      </c>
      <c r="X237" s="10">
        <v>0</v>
      </c>
      <c r="AA237" s="10">
        <v>0</v>
      </c>
      <c r="AB237" s="10">
        <v>0</v>
      </c>
      <c r="AC237" s="10">
        <v>0</v>
      </c>
      <c r="AE237" s="14">
        <v>0</v>
      </c>
      <c r="AG237" s="14">
        <v>0</v>
      </c>
      <c r="AJ237" s="14">
        <v>0</v>
      </c>
      <c r="AK237" s="14">
        <v>0</v>
      </c>
      <c r="AL237" s="14">
        <v>0</v>
      </c>
      <c r="AM237" s="14">
        <v>0</v>
      </c>
      <c r="AO237" s="14">
        <v>0</v>
      </c>
      <c r="AP237" s="14"/>
      <c r="AQ237" s="14"/>
      <c r="AR237" s="14">
        <v>0</v>
      </c>
      <c r="AS237" s="14">
        <v>0</v>
      </c>
      <c r="AT237" s="14">
        <v>0</v>
      </c>
      <c r="AU237" s="14">
        <v>0</v>
      </c>
      <c r="AX237" s="38" t="s">
        <v>477</v>
      </c>
      <c r="AY237" s="38" t="s">
        <v>427</v>
      </c>
    </row>
    <row r="238" spans="1:51" x14ac:dyDescent="0.3">
      <c r="A238" s="34" t="s">
        <v>489</v>
      </c>
      <c r="B238" s="35" t="s">
        <v>490</v>
      </c>
      <c r="C238" s="8">
        <v>43.166666999999997</v>
      </c>
      <c r="D238" s="8">
        <v>6.0333329999999998</v>
      </c>
      <c r="E238" s="9">
        <v>75</v>
      </c>
      <c r="F238" t="s">
        <v>53</v>
      </c>
      <c r="G238" s="10" t="s">
        <v>54</v>
      </c>
      <c r="H238" s="11">
        <v>-30</v>
      </c>
      <c r="I238" s="11">
        <v>200</v>
      </c>
      <c r="J238" s="12" t="s">
        <v>413</v>
      </c>
      <c r="K238" s="36" t="s">
        <v>414</v>
      </c>
      <c r="L238" s="10" t="s">
        <v>415</v>
      </c>
      <c r="M238" s="37" t="s">
        <v>59</v>
      </c>
      <c r="O238" s="10" t="s">
        <v>60</v>
      </c>
      <c r="P238" s="10" t="s">
        <v>61</v>
      </c>
      <c r="S238" s="10">
        <v>0</v>
      </c>
      <c r="V238" s="10">
        <v>0</v>
      </c>
      <c r="W238" s="10">
        <v>29</v>
      </c>
      <c r="X238" s="10">
        <v>0</v>
      </c>
      <c r="AA238" s="10">
        <v>0</v>
      </c>
      <c r="AB238" s="10">
        <v>0</v>
      </c>
      <c r="AC238" s="10">
        <v>0</v>
      </c>
      <c r="AE238" s="10">
        <v>0</v>
      </c>
      <c r="AG238" s="14">
        <v>0</v>
      </c>
      <c r="AJ238" s="14">
        <v>0</v>
      </c>
      <c r="AK238" s="14">
        <v>0</v>
      </c>
      <c r="AL238" s="14">
        <v>0</v>
      </c>
      <c r="AM238" s="14">
        <v>0</v>
      </c>
      <c r="AO238" s="14">
        <v>0</v>
      </c>
      <c r="AP238" s="14"/>
      <c r="AQ238" s="14"/>
      <c r="AR238" s="14">
        <v>0</v>
      </c>
      <c r="AS238" s="14">
        <v>0</v>
      </c>
      <c r="AT238" s="14">
        <v>0</v>
      </c>
      <c r="AU238" s="14">
        <v>0</v>
      </c>
      <c r="AX238" s="16" t="s">
        <v>442</v>
      </c>
      <c r="AY238" s="16" t="s">
        <v>350</v>
      </c>
    </row>
    <row r="239" spans="1:51" x14ac:dyDescent="0.3">
      <c r="A239" s="42" t="s">
        <v>491</v>
      </c>
      <c r="B239" s="35" t="s">
        <v>492</v>
      </c>
      <c r="C239" s="39">
        <v>43.128</v>
      </c>
      <c r="D239" s="39">
        <v>6.016</v>
      </c>
      <c r="E239" s="9">
        <v>63</v>
      </c>
      <c r="F239" t="s">
        <v>53</v>
      </c>
      <c r="G239" s="10" t="s">
        <v>54</v>
      </c>
      <c r="H239" s="11">
        <v>-30</v>
      </c>
      <c r="I239" s="11">
        <v>200</v>
      </c>
      <c r="J239" s="12" t="s">
        <v>413</v>
      </c>
      <c r="K239" s="36" t="s">
        <v>414</v>
      </c>
      <c r="L239" s="10" t="s">
        <v>415</v>
      </c>
      <c r="M239" s="40" t="s">
        <v>59</v>
      </c>
      <c r="O239" s="10" t="s">
        <v>60</v>
      </c>
      <c r="P239" s="10" t="s">
        <v>61</v>
      </c>
      <c r="S239" s="10">
        <v>0</v>
      </c>
      <c r="V239" s="10">
        <v>0</v>
      </c>
      <c r="W239" s="10">
        <v>4</v>
      </c>
      <c r="X239" s="10">
        <v>0</v>
      </c>
      <c r="AA239" s="10">
        <v>0</v>
      </c>
      <c r="AB239" s="10">
        <v>0</v>
      </c>
      <c r="AC239" s="10">
        <v>0</v>
      </c>
      <c r="AE239" s="10">
        <v>0</v>
      </c>
      <c r="AG239" s="14">
        <v>0</v>
      </c>
      <c r="AJ239" s="14">
        <v>0</v>
      </c>
      <c r="AK239" s="14">
        <v>0</v>
      </c>
      <c r="AL239" s="14">
        <v>0</v>
      </c>
      <c r="AM239" s="14">
        <v>0</v>
      </c>
      <c r="AO239" s="14">
        <v>0</v>
      </c>
      <c r="AP239" s="14"/>
      <c r="AQ239" s="14"/>
      <c r="AR239" s="14">
        <v>0</v>
      </c>
      <c r="AS239" s="14">
        <v>0</v>
      </c>
      <c r="AT239" s="14">
        <v>0</v>
      </c>
      <c r="AU239" s="14">
        <v>0</v>
      </c>
      <c r="AX239" s="38" t="s">
        <v>477</v>
      </c>
      <c r="AY239" s="38" t="s">
        <v>427</v>
      </c>
    </row>
    <row r="240" spans="1:51" x14ac:dyDescent="0.3">
      <c r="A240" s="34" t="s">
        <v>493</v>
      </c>
      <c r="B240" s="35" t="s">
        <v>494</v>
      </c>
      <c r="C240" s="8">
        <v>44.3</v>
      </c>
      <c r="D240" s="8">
        <v>4.6833330000000002</v>
      </c>
      <c r="E240" s="9">
        <v>50</v>
      </c>
      <c r="F240" t="s">
        <v>53</v>
      </c>
      <c r="G240" s="10" t="s">
        <v>54</v>
      </c>
      <c r="H240" s="11">
        <v>-30</v>
      </c>
      <c r="I240" s="11">
        <v>200</v>
      </c>
      <c r="J240" s="12" t="s">
        <v>413</v>
      </c>
      <c r="K240" s="36" t="s">
        <v>414</v>
      </c>
      <c r="L240" s="12" t="s">
        <v>415</v>
      </c>
      <c r="M240" s="37" t="s">
        <v>59</v>
      </c>
      <c r="O240" s="10" t="s">
        <v>60</v>
      </c>
      <c r="P240" s="10" t="s">
        <v>60</v>
      </c>
      <c r="S240" s="10">
        <v>45</v>
      </c>
      <c r="V240" s="10">
        <v>2</v>
      </c>
      <c r="W240" s="12">
        <v>3</v>
      </c>
      <c r="X240" s="10">
        <v>1</v>
      </c>
      <c r="AA240" s="10">
        <v>14</v>
      </c>
      <c r="AB240" s="10">
        <v>0</v>
      </c>
      <c r="AC240" s="10">
        <v>2</v>
      </c>
      <c r="AE240" s="10">
        <v>0</v>
      </c>
      <c r="AF240" s="10" t="s">
        <v>495</v>
      </c>
      <c r="AG240" s="14">
        <v>0</v>
      </c>
      <c r="AJ240" s="14">
        <v>0</v>
      </c>
      <c r="AK240" s="14">
        <v>0</v>
      </c>
      <c r="AL240" s="14">
        <v>0</v>
      </c>
      <c r="AM240" s="14">
        <v>0</v>
      </c>
      <c r="AO240" s="14">
        <v>0</v>
      </c>
      <c r="AP240" s="14"/>
      <c r="AQ240" s="14"/>
      <c r="AR240" s="14">
        <v>0</v>
      </c>
      <c r="AS240" s="14">
        <v>0</v>
      </c>
      <c r="AT240" s="14">
        <v>0</v>
      </c>
      <c r="AU240" s="14">
        <v>0</v>
      </c>
      <c r="AX240" s="38" t="s">
        <v>416</v>
      </c>
      <c r="AY240" s="38" t="s">
        <v>68</v>
      </c>
    </row>
    <row r="241" spans="1:51" x14ac:dyDescent="0.3">
      <c r="A241" s="42" t="s">
        <v>496</v>
      </c>
      <c r="B241" s="35" t="s">
        <v>239</v>
      </c>
      <c r="C241" s="8">
        <v>43.566667000000002</v>
      </c>
      <c r="D241" s="8">
        <v>3.9</v>
      </c>
      <c r="E241" s="9">
        <v>3</v>
      </c>
      <c r="F241" t="s">
        <v>53</v>
      </c>
      <c r="G241" s="10" t="s">
        <v>54</v>
      </c>
      <c r="H241" s="11">
        <v>-30</v>
      </c>
      <c r="I241" s="11">
        <v>200</v>
      </c>
      <c r="J241" s="12" t="s">
        <v>413</v>
      </c>
      <c r="K241" s="36" t="s">
        <v>414</v>
      </c>
      <c r="L241" s="12" t="s">
        <v>415</v>
      </c>
      <c r="M241" s="40" t="s">
        <v>92</v>
      </c>
      <c r="O241" s="10" t="s">
        <v>60</v>
      </c>
      <c r="P241" s="10" t="s">
        <v>61</v>
      </c>
      <c r="S241" s="10">
        <v>0</v>
      </c>
      <c r="V241" s="10">
        <v>0</v>
      </c>
      <c r="W241" s="10">
        <v>2</v>
      </c>
      <c r="X241" s="10">
        <v>0</v>
      </c>
      <c r="AA241" s="10">
        <v>0</v>
      </c>
      <c r="AB241" s="10">
        <v>0</v>
      </c>
      <c r="AC241" s="10">
        <v>0</v>
      </c>
      <c r="AE241" s="10">
        <v>0</v>
      </c>
      <c r="AG241" s="14">
        <v>0</v>
      </c>
      <c r="AJ241" s="14">
        <v>0</v>
      </c>
      <c r="AK241" s="14">
        <v>0</v>
      </c>
      <c r="AL241" s="14">
        <v>0</v>
      </c>
      <c r="AM241" s="14">
        <v>0</v>
      </c>
      <c r="AO241" s="14">
        <v>0</v>
      </c>
      <c r="AP241" s="14"/>
      <c r="AQ241" s="14"/>
      <c r="AR241" s="14">
        <v>0</v>
      </c>
      <c r="AS241" s="14">
        <v>0</v>
      </c>
      <c r="AT241" s="14">
        <v>0</v>
      </c>
      <c r="AU241" s="14">
        <v>0</v>
      </c>
      <c r="AX241" s="16" t="s">
        <v>460</v>
      </c>
      <c r="AY241" s="16" t="s">
        <v>131</v>
      </c>
    </row>
    <row r="242" spans="1:51" x14ac:dyDescent="0.3">
      <c r="A242" s="42" t="s">
        <v>497</v>
      </c>
      <c r="B242" s="35" t="s">
        <v>239</v>
      </c>
      <c r="C242" s="8">
        <v>43.566667000000002</v>
      </c>
      <c r="D242" s="8">
        <v>3.9</v>
      </c>
      <c r="E242" s="9">
        <v>3</v>
      </c>
      <c r="F242" t="s">
        <v>53</v>
      </c>
      <c r="G242" s="10" t="s">
        <v>54</v>
      </c>
      <c r="H242" s="11">
        <v>-30</v>
      </c>
      <c r="I242" s="11">
        <v>200</v>
      </c>
      <c r="J242" s="12" t="s">
        <v>413</v>
      </c>
      <c r="K242" s="36" t="s">
        <v>414</v>
      </c>
      <c r="L242" s="12" t="s">
        <v>415</v>
      </c>
      <c r="M242" s="40" t="s">
        <v>59</v>
      </c>
      <c r="O242" s="10" t="s">
        <v>60</v>
      </c>
      <c r="P242" s="10" t="s">
        <v>61</v>
      </c>
      <c r="S242" s="10">
        <v>0</v>
      </c>
      <c r="V242" s="10">
        <v>0</v>
      </c>
      <c r="W242" s="45">
        <v>2</v>
      </c>
      <c r="X242" s="10">
        <v>0</v>
      </c>
      <c r="AA242" s="10">
        <v>0</v>
      </c>
      <c r="AB242" s="10">
        <v>0</v>
      </c>
      <c r="AC242" s="10">
        <v>0</v>
      </c>
      <c r="AE242" s="10">
        <v>0</v>
      </c>
      <c r="AG242" s="14">
        <v>0</v>
      </c>
      <c r="AJ242" s="14">
        <v>0</v>
      </c>
      <c r="AK242" s="14">
        <v>0</v>
      </c>
      <c r="AL242" s="14">
        <v>0</v>
      </c>
      <c r="AM242" s="14">
        <v>0</v>
      </c>
      <c r="AO242" s="14">
        <v>0</v>
      </c>
      <c r="AP242" s="14"/>
      <c r="AQ242" s="14"/>
      <c r="AR242" s="14">
        <v>0</v>
      </c>
      <c r="AS242" s="14">
        <v>0</v>
      </c>
      <c r="AT242" s="14">
        <v>0</v>
      </c>
      <c r="AU242" s="14">
        <v>0</v>
      </c>
      <c r="AX242" s="16" t="s">
        <v>460</v>
      </c>
      <c r="AY242" s="16" t="s">
        <v>131</v>
      </c>
    </row>
    <row r="243" spans="1:51" x14ac:dyDescent="0.3">
      <c r="A243" s="42" t="s">
        <v>498</v>
      </c>
      <c r="B243" s="35" t="s">
        <v>239</v>
      </c>
      <c r="C243" s="8">
        <v>43.566667000000002</v>
      </c>
      <c r="D243" s="8">
        <v>3.9</v>
      </c>
      <c r="E243" s="9">
        <v>3</v>
      </c>
      <c r="F243" t="s">
        <v>53</v>
      </c>
      <c r="G243" s="10" t="s">
        <v>54</v>
      </c>
      <c r="H243" s="11">
        <v>-30</v>
      </c>
      <c r="I243" s="11">
        <v>200</v>
      </c>
      <c r="J243" s="12" t="s">
        <v>413</v>
      </c>
      <c r="K243" s="36" t="s">
        <v>414</v>
      </c>
      <c r="L243" s="12" t="s">
        <v>415</v>
      </c>
      <c r="M243" s="40" t="s">
        <v>92</v>
      </c>
      <c r="O243" s="10" t="s">
        <v>60</v>
      </c>
      <c r="P243" s="10" t="s">
        <v>61</v>
      </c>
      <c r="S243" s="10">
        <v>0</v>
      </c>
      <c r="V243" s="10">
        <v>0</v>
      </c>
      <c r="W243" s="10">
        <v>12</v>
      </c>
      <c r="X243" s="10">
        <v>0</v>
      </c>
      <c r="AA243" s="10">
        <v>0</v>
      </c>
      <c r="AB243" s="10">
        <v>0</v>
      </c>
      <c r="AC243" s="10">
        <v>0</v>
      </c>
      <c r="AE243" s="10">
        <v>0</v>
      </c>
      <c r="AG243" s="14">
        <v>0</v>
      </c>
      <c r="AJ243" s="14">
        <v>0</v>
      </c>
      <c r="AK243" s="14">
        <v>0</v>
      </c>
      <c r="AL243" s="14">
        <v>0</v>
      </c>
      <c r="AM243" s="14">
        <v>0</v>
      </c>
      <c r="AO243" s="14">
        <v>0</v>
      </c>
      <c r="AP243" s="14"/>
      <c r="AQ243" s="14"/>
      <c r="AR243" s="14">
        <v>0</v>
      </c>
      <c r="AS243" s="14">
        <v>0</v>
      </c>
      <c r="AT243" s="14">
        <v>0</v>
      </c>
      <c r="AU243" s="14">
        <v>0</v>
      </c>
      <c r="AX243" s="16" t="s">
        <v>460</v>
      </c>
      <c r="AY243" s="16" t="s">
        <v>131</v>
      </c>
    </row>
    <row r="244" spans="1:51" s="27" customFormat="1" ht="57.6" x14ac:dyDescent="0.3">
      <c r="A244" s="16" t="s">
        <v>499</v>
      </c>
      <c r="B244" s="38" t="s">
        <v>239</v>
      </c>
      <c r="C244" s="25">
        <v>43.566667000000002</v>
      </c>
      <c r="D244" s="25">
        <v>3.9</v>
      </c>
      <c r="E244" s="26">
        <v>3</v>
      </c>
      <c r="F244" s="15" t="s">
        <v>53</v>
      </c>
      <c r="G244" s="14" t="s">
        <v>54</v>
      </c>
      <c r="H244" s="28">
        <v>-30</v>
      </c>
      <c r="I244" s="28">
        <v>200</v>
      </c>
      <c r="J244" s="18" t="s">
        <v>413</v>
      </c>
      <c r="K244" s="41" t="s">
        <v>414</v>
      </c>
      <c r="L244" s="18" t="s">
        <v>415</v>
      </c>
      <c r="M244" s="18" t="s">
        <v>421</v>
      </c>
      <c r="N244" s="14" t="s">
        <v>422</v>
      </c>
      <c r="O244" s="14" t="s">
        <v>60</v>
      </c>
      <c r="P244" s="14" t="s">
        <v>61</v>
      </c>
      <c r="Q244" s="15"/>
      <c r="R244" s="15"/>
      <c r="S244" s="14">
        <v>1148</v>
      </c>
      <c r="T244" s="15"/>
      <c r="U244" s="15"/>
      <c r="V244" s="14">
        <v>13</v>
      </c>
      <c r="W244" s="18">
        <v>89</v>
      </c>
      <c r="X244" s="14">
        <v>0</v>
      </c>
      <c r="Y244" s="14"/>
      <c r="Z244" s="14"/>
      <c r="AA244" s="14">
        <v>0</v>
      </c>
      <c r="AB244" s="14">
        <v>0</v>
      </c>
      <c r="AC244" s="14">
        <v>0</v>
      </c>
      <c r="AD244" s="14"/>
      <c r="AE244" s="14">
        <v>0</v>
      </c>
      <c r="AF244" s="14"/>
      <c r="AG244" s="14">
        <v>1</v>
      </c>
      <c r="AH244" s="14"/>
      <c r="AI244" s="14"/>
      <c r="AJ244" s="14">
        <v>2</v>
      </c>
      <c r="AK244" s="14">
        <v>0</v>
      </c>
      <c r="AL244" s="14">
        <v>1</v>
      </c>
      <c r="AM244" s="14">
        <v>0</v>
      </c>
      <c r="AN244" s="14" t="s">
        <v>500</v>
      </c>
      <c r="AO244" s="14">
        <v>0</v>
      </c>
      <c r="AP244" s="14"/>
      <c r="AQ244" s="14"/>
      <c r="AR244" s="14">
        <v>0</v>
      </c>
      <c r="AS244" s="14">
        <v>0</v>
      </c>
      <c r="AT244" s="14">
        <v>0</v>
      </c>
      <c r="AU244" s="14">
        <v>0</v>
      </c>
      <c r="AV244" s="14"/>
      <c r="AW244" s="15"/>
      <c r="AX244" s="38" t="s">
        <v>501</v>
      </c>
      <c r="AY244" s="38" t="s">
        <v>502</v>
      </c>
    </row>
    <row r="245" spans="1:51" s="27" customFormat="1" ht="57.6" x14ac:dyDescent="0.3">
      <c r="A245" s="16" t="s">
        <v>499</v>
      </c>
      <c r="B245" s="38" t="s">
        <v>239</v>
      </c>
      <c r="C245" s="25">
        <v>43.566667000000002</v>
      </c>
      <c r="D245" s="25">
        <v>3.9</v>
      </c>
      <c r="E245" s="26">
        <v>3</v>
      </c>
      <c r="F245" s="15" t="s">
        <v>53</v>
      </c>
      <c r="G245" s="14" t="s">
        <v>54</v>
      </c>
      <c r="H245" s="28">
        <v>-125</v>
      </c>
      <c r="I245" s="28">
        <v>-30</v>
      </c>
      <c r="J245" s="18" t="s">
        <v>413</v>
      </c>
      <c r="K245" s="41" t="s">
        <v>414</v>
      </c>
      <c r="L245" s="18" t="s">
        <v>449</v>
      </c>
      <c r="M245" s="18" t="s">
        <v>421</v>
      </c>
      <c r="N245" s="14" t="s">
        <v>422</v>
      </c>
      <c r="O245" s="14" t="s">
        <v>60</v>
      </c>
      <c r="P245" s="14" t="s">
        <v>61</v>
      </c>
      <c r="Q245" s="15"/>
      <c r="R245" s="15"/>
      <c r="S245" s="14">
        <v>124</v>
      </c>
      <c r="T245" s="15"/>
      <c r="U245" s="15"/>
      <c r="V245" s="14">
        <v>11</v>
      </c>
      <c r="W245" s="18">
        <v>81</v>
      </c>
      <c r="X245" s="14">
        <v>0</v>
      </c>
      <c r="Y245" s="14"/>
      <c r="Z245" s="14"/>
      <c r="AA245" s="14">
        <v>0</v>
      </c>
      <c r="AB245" s="14">
        <v>0</v>
      </c>
      <c r="AC245" s="14">
        <v>0</v>
      </c>
      <c r="AD245" s="14"/>
      <c r="AE245" s="14">
        <v>0</v>
      </c>
      <c r="AF245" s="14"/>
      <c r="AG245" s="14">
        <v>1</v>
      </c>
      <c r="AH245" s="14"/>
      <c r="AI245" s="14"/>
      <c r="AJ245" s="14">
        <v>2</v>
      </c>
      <c r="AK245" s="14">
        <v>0</v>
      </c>
      <c r="AL245" s="14">
        <v>2</v>
      </c>
      <c r="AM245" s="14">
        <v>0</v>
      </c>
      <c r="AN245" s="14" t="s">
        <v>500</v>
      </c>
      <c r="AO245" s="14">
        <v>0</v>
      </c>
      <c r="AP245" s="14"/>
      <c r="AQ245" s="14"/>
      <c r="AR245" s="14">
        <v>0</v>
      </c>
      <c r="AS245" s="14">
        <v>0</v>
      </c>
      <c r="AT245" s="14">
        <v>0</v>
      </c>
      <c r="AU245" s="14">
        <v>0</v>
      </c>
      <c r="AV245" s="14"/>
      <c r="AW245" s="15"/>
      <c r="AX245" s="38" t="s">
        <v>501</v>
      </c>
      <c r="AY245" s="38" t="s">
        <v>502</v>
      </c>
    </row>
    <row r="246" spans="1:51" x14ac:dyDescent="0.3">
      <c r="A246" s="47" t="s">
        <v>499</v>
      </c>
      <c r="B246" s="48" t="s">
        <v>239</v>
      </c>
      <c r="C246" s="8">
        <v>43.566667000000002</v>
      </c>
      <c r="D246" s="8">
        <v>3.9</v>
      </c>
      <c r="E246" s="9">
        <v>3</v>
      </c>
      <c r="F246" t="s">
        <v>53</v>
      </c>
      <c r="G246" s="10" t="s">
        <v>54</v>
      </c>
      <c r="H246" s="11">
        <v>-30</v>
      </c>
      <c r="I246" s="11">
        <v>200</v>
      </c>
      <c r="J246" s="12" t="s">
        <v>413</v>
      </c>
      <c r="K246" s="36" t="s">
        <v>414</v>
      </c>
      <c r="L246" s="12" t="s">
        <v>415</v>
      </c>
      <c r="M246" s="18" t="s">
        <v>429</v>
      </c>
      <c r="N246" s="10" t="s">
        <v>119</v>
      </c>
      <c r="O246" s="10" t="s">
        <v>60</v>
      </c>
      <c r="P246" s="10" t="s">
        <v>61</v>
      </c>
      <c r="S246" s="10">
        <v>22</v>
      </c>
      <c r="V246" s="10">
        <v>23</v>
      </c>
      <c r="W246" s="12">
        <v>1</v>
      </c>
      <c r="X246" s="10">
        <v>0</v>
      </c>
      <c r="AA246" s="10">
        <v>0</v>
      </c>
      <c r="AB246" s="10">
        <v>0</v>
      </c>
      <c r="AC246" s="10">
        <v>0</v>
      </c>
      <c r="AE246" s="10">
        <v>0</v>
      </c>
      <c r="AG246" s="14">
        <v>0</v>
      </c>
      <c r="AJ246" s="14">
        <v>0</v>
      </c>
      <c r="AK246" s="14">
        <v>0</v>
      </c>
      <c r="AL246" s="14">
        <v>0</v>
      </c>
      <c r="AM246" s="14">
        <v>0</v>
      </c>
      <c r="AO246" s="14">
        <v>0</v>
      </c>
      <c r="AP246" s="14"/>
      <c r="AQ246" s="14"/>
      <c r="AR246" s="14">
        <v>0</v>
      </c>
      <c r="AS246" s="14">
        <v>0</v>
      </c>
      <c r="AT246" s="14">
        <v>0</v>
      </c>
      <c r="AU246" s="14">
        <v>0</v>
      </c>
      <c r="AW246" t="s">
        <v>503</v>
      </c>
      <c r="AX246" s="16" t="s">
        <v>504</v>
      </c>
      <c r="AY246" s="16" t="s">
        <v>350</v>
      </c>
    </row>
    <row r="247" spans="1:51" x14ac:dyDescent="0.3">
      <c r="A247" s="47" t="s">
        <v>349</v>
      </c>
      <c r="B247" s="48" t="s">
        <v>239</v>
      </c>
      <c r="C247" s="8">
        <v>43.566667000000002</v>
      </c>
      <c r="D247" s="8">
        <v>3.9</v>
      </c>
      <c r="E247" s="9">
        <v>3</v>
      </c>
      <c r="F247" t="s">
        <v>53</v>
      </c>
      <c r="G247" s="10" t="s">
        <v>54</v>
      </c>
      <c r="H247" s="11">
        <v>-30</v>
      </c>
      <c r="I247" s="11">
        <v>200</v>
      </c>
      <c r="J247" s="12" t="s">
        <v>413</v>
      </c>
      <c r="K247" s="36" t="s">
        <v>414</v>
      </c>
      <c r="L247" s="10" t="s">
        <v>415</v>
      </c>
      <c r="M247" s="18" t="s">
        <v>505</v>
      </c>
      <c r="N247" s="10" t="s">
        <v>422</v>
      </c>
      <c r="O247" s="10" t="s">
        <v>60</v>
      </c>
      <c r="P247" s="10" t="s">
        <v>61</v>
      </c>
      <c r="S247" s="10">
        <v>6</v>
      </c>
      <c r="V247" s="10">
        <v>0</v>
      </c>
      <c r="W247" s="12">
        <v>6</v>
      </c>
      <c r="X247" s="10">
        <v>0</v>
      </c>
      <c r="AA247" s="10">
        <v>0</v>
      </c>
      <c r="AB247" s="10">
        <v>0</v>
      </c>
      <c r="AC247" s="10">
        <v>0</v>
      </c>
      <c r="AE247" s="10">
        <v>0</v>
      </c>
      <c r="AG247" s="14">
        <v>0</v>
      </c>
      <c r="AJ247" s="14">
        <v>0</v>
      </c>
      <c r="AK247" s="14">
        <v>0</v>
      </c>
      <c r="AL247" s="14">
        <v>0</v>
      </c>
      <c r="AM247" s="14">
        <v>0</v>
      </c>
      <c r="AO247" s="14">
        <v>0</v>
      </c>
      <c r="AP247" s="14"/>
      <c r="AQ247" s="14"/>
      <c r="AR247" s="14">
        <v>0</v>
      </c>
      <c r="AS247" s="14">
        <v>0</v>
      </c>
      <c r="AT247" s="14">
        <v>0</v>
      </c>
      <c r="AU247" s="14">
        <v>0</v>
      </c>
      <c r="AX247" s="16" t="s">
        <v>442</v>
      </c>
      <c r="AY247" s="16" t="s">
        <v>350</v>
      </c>
    </row>
    <row r="248" spans="1:51" x14ac:dyDescent="0.3">
      <c r="A248" s="34" t="s">
        <v>351</v>
      </c>
      <c r="B248" s="34" t="s">
        <v>352</v>
      </c>
      <c r="C248" s="8">
        <v>42.52</v>
      </c>
      <c r="D248" s="8">
        <v>2.83</v>
      </c>
      <c r="E248" s="9">
        <v>121</v>
      </c>
      <c r="F248" t="s">
        <v>53</v>
      </c>
      <c r="G248" s="10" t="s">
        <v>54</v>
      </c>
      <c r="H248" s="11">
        <v>-125</v>
      </c>
      <c r="I248" s="11">
        <v>-30</v>
      </c>
      <c r="J248" s="12" t="s">
        <v>413</v>
      </c>
      <c r="K248" s="36" t="s">
        <v>414</v>
      </c>
      <c r="L248" s="10" t="s">
        <v>449</v>
      </c>
      <c r="M248" s="37" t="s">
        <v>59</v>
      </c>
      <c r="O248" s="10" t="s">
        <v>60</v>
      </c>
      <c r="P248" s="10" t="s">
        <v>61</v>
      </c>
      <c r="S248" s="10">
        <v>53</v>
      </c>
      <c r="V248" s="10">
        <v>1</v>
      </c>
      <c r="W248" s="12">
        <v>5</v>
      </c>
      <c r="X248" s="10">
        <v>0</v>
      </c>
      <c r="AA248" s="10">
        <v>0</v>
      </c>
      <c r="AB248" s="10">
        <v>0</v>
      </c>
      <c r="AC248" s="10">
        <v>0</v>
      </c>
      <c r="AE248" s="10">
        <v>0</v>
      </c>
      <c r="AG248" s="14">
        <v>0</v>
      </c>
      <c r="AJ248" s="14">
        <v>0</v>
      </c>
      <c r="AK248" s="14">
        <v>0</v>
      </c>
      <c r="AL248" s="14">
        <v>0</v>
      </c>
      <c r="AM248" s="14">
        <v>0</v>
      </c>
      <c r="AO248" s="14">
        <v>0</v>
      </c>
      <c r="AP248" s="14"/>
      <c r="AQ248" s="14"/>
      <c r="AR248" s="14">
        <v>0</v>
      </c>
      <c r="AS248" s="14">
        <v>0</v>
      </c>
      <c r="AT248" s="14">
        <v>0</v>
      </c>
      <c r="AU248" s="14">
        <v>0</v>
      </c>
      <c r="AX248" s="16" t="s">
        <v>455</v>
      </c>
      <c r="AY248" s="16" t="s">
        <v>85</v>
      </c>
    </row>
    <row r="249" spans="1:51" x14ac:dyDescent="0.3">
      <c r="A249" s="34" t="s">
        <v>506</v>
      </c>
      <c r="B249" s="34" t="s">
        <v>507</v>
      </c>
      <c r="C249" s="8">
        <v>42.52</v>
      </c>
      <c r="D249" s="8">
        <v>2.83</v>
      </c>
      <c r="E249" s="9">
        <v>196</v>
      </c>
      <c r="F249" t="s">
        <v>53</v>
      </c>
      <c r="G249" s="10" t="s">
        <v>54</v>
      </c>
      <c r="H249" s="11">
        <v>-125</v>
      </c>
      <c r="I249" s="11">
        <v>-30</v>
      </c>
      <c r="J249" s="12" t="s">
        <v>413</v>
      </c>
      <c r="K249" s="36" t="s">
        <v>414</v>
      </c>
      <c r="L249" s="10" t="s">
        <v>449</v>
      </c>
      <c r="M249" s="37" t="s">
        <v>59</v>
      </c>
      <c r="O249" s="10" t="s">
        <v>60</v>
      </c>
      <c r="P249" s="10" t="s">
        <v>61</v>
      </c>
      <c r="S249" s="10">
        <v>26</v>
      </c>
      <c r="V249" s="10">
        <v>0</v>
      </c>
      <c r="W249" s="12">
        <v>3</v>
      </c>
      <c r="X249" s="10">
        <v>0</v>
      </c>
      <c r="AA249" s="10">
        <v>0</v>
      </c>
      <c r="AB249" s="10">
        <v>0</v>
      </c>
      <c r="AC249" s="10">
        <v>0</v>
      </c>
      <c r="AE249" s="10">
        <v>0</v>
      </c>
      <c r="AG249" s="14">
        <v>0</v>
      </c>
      <c r="AJ249" s="14">
        <v>0</v>
      </c>
      <c r="AK249" s="14">
        <v>0</v>
      </c>
      <c r="AL249" s="14">
        <v>0</v>
      </c>
      <c r="AM249" s="14">
        <v>0</v>
      </c>
      <c r="AO249" s="14">
        <v>0</v>
      </c>
      <c r="AP249" s="14"/>
      <c r="AQ249" s="14"/>
      <c r="AR249" s="14">
        <v>0</v>
      </c>
      <c r="AS249" s="14">
        <v>0</v>
      </c>
      <c r="AT249" s="14">
        <v>0</v>
      </c>
      <c r="AU249" s="14">
        <v>0</v>
      </c>
      <c r="AX249" s="16" t="s">
        <v>457</v>
      </c>
      <c r="AY249" s="16" t="s">
        <v>85</v>
      </c>
    </row>
    <row r="250" spans="1:51" x14ac:dyDescent="0.3">
      <c r="A250" s="42" t="s">
        <v>508</v>
      </c>
      <c r="B250" s="49" t="s">
        <v>509</v>
      </c>
      <c r="C250" s="8">
        <v>43.966667000000001</v>
      </c>
      <c r="D250" s="8">
        <v>3.1833330000000002</v>
      </c>
      <c r="E250" s="9">
        <v>753</v>
      </c>
      <c r="F250" t="s">
        <v>53</v>
      </c>
      <c r="G250" s="10" t="s">
        <v>54</v>
      </c>
      <c r="H250" s="11">
        <v>-30</v>
      </c>
      <c r="I250" s="11">
        <v>200</v>
      </c>
      <c r="J250" s="12" t="s">
        <v>413</v>
      </c>
      <c r="K250" s="36" t="s">
        <v>414</v>
      </c>
      <c r="L250" s="10" t="s">
        <v>415</v>
      </c>
      <c r="M250" s="18" t="s">
        <v>92</v>
      </c>
      <c r="O250" s="10" t="s">
        <v>60</v>
      </c>
      <c r="P250" s="10" t="s">
        <v>84</v>
      </c>
      <c r="S250" s="10">
        <v>7543</v>
      </c>
      <c r="V250" s="10">
        <v>36</v>
      </c>
      <c r="W250" s="12">
        <v>17</v>
      </c>
      <c r="X250" s="10">
        <v>0</v>
      </c>
      <c r="AA250" s="10">
        <v>0</v>
      </c>
      <c r="AB250" s="10">
        <v>0</v>
      </c>
      <c r="AC250" s="10">
        <v>0</v>
      </c>
      <c r="AE250" s="14">
        <v>0</v>
      </c>
      <c r="AG250" s="14">
        <v>1</v>
      </c>
      <c r="AJ250" s="14">
        <v>15</v>
      </c>
      <c r="AK250" s="14">
        <v>0</v>
      </c>
      <c r="AL250" s="14">
        <v>1</v>
      </c>
      <c r="AM250" s="14">
        <v>0</v>
      </c>
      <c r="AN250" s="10" t="s">
        <v>62</v>
      </c>
      <c r="AO250" s="14">
        <v>0</v>
      </c>
      <c r="AP250" s="14"/>
      <c r="AQ250" s="14"/>
      <c r="AR250" s="14">
        <v>0</v>
      </c>
      <c r="AS250" s="14">
        <v>0</v>
      </c>
      <c r="AT250" s="14">
        <v>0</v>
      </c>
      <c r="AU250" s="14">
        <v>0</v>
      </c>
      <c r="AX250" s="16" t="s">
        <v>418</v>
      </c>
      <c r="AY250" s="16" t="s">
        <v>78</v>
      </c>
    </row>
    <row r="251" spans="1:51" x14ac:dyDescent="0.3">
      <c r="A251" s="34" t="s">
        <v>510</v>
      </c>
      <c r="B251" s="35" t="s">
        <v>511</v>
      </c>
      <c r="C251" s="39">
        <v>43.296999999999997</v>
      </c>
      <c r="D251" s="39">
        <v>5.3739999999999997</v>
      </c>
      <c r="E251" s="9">
        <v>1</v>
      </c>
      <c r="F251" t="s">
        <v>53</v>
      </c>
      <c r="G251" s="10" t="s">
        <v>54</v>
      </c>
      <c r="H251" s="11">
        <v>-30</v>
      </c>
      <c r="I251" s="11">
        <v>200</v>
      </c>
      <c r="J251" s="12" t="s">
        <v>413</v>
      </c>
      <c r="K251" s="36" t="s">
        <v>414</v>
      </c>
      <c r="L251" s="12" t="s">
        <v>415</v>
      </c>
      <c r="M251" s="37" t="s">
        <v>466</v>
      </c>
      <c r="N251" s="10" t="s">
        <v>422</v>
      </c>
      <c r="O251" s="10" t="s">
        <v>60</v>
      </c>
      <c r="P251" s="10" t="s">
        <v>61</v>
      </c>
      <c r="S251" s="10">
        <v>2</v>
      </c>
      <c r="V251" s="10">
        <v>0</v>
      </c>
      <c r="W251" s="12">
        <v>3</v>
      </c>
      <c r="X251" s="10">
        <v>0</v>
      </c>
      <c r="AA251" s="10">
        <v>0</v>
      </c>
      <c r="AB251" s="10">
        <v>0</v>
      </c>
      <c r="AC251" s="10">
        <v>0</v>
      </c>
      <c r="AE251" s="10">
        <v>0</v>
      </c>
      <c r="AG251" s="14">
        <v>0</v>
      </c>
      <c r="AJ251" s="14">
        <v>0</v>
      </c>
      <c r="AK251" s="14">
        <v>0</v>
      </c>
      <c r="AL251" s="14">
        <v>0</v>
      </c>
      <c r="AM251" s="14">
        <v>0</v>
      </c>
      <c r="AO251" s="14">
        <v>0</v>
      </c>
      <c r="AP251" s="14"/>
      <c r="AQ251" s="14"/>
      <c r="AR251" s="14">
        <v>0</v>
      </c>
      <c r="AS251" s="14">
        <v>0</v>
      </c>
      <c r="AT251" s="14">
        <v>0</v>
      </c>
      <c r="AU251" s="14">
        <v>0</v>
      </c>
      <c r="AX251" s="38" t="s">
        <v>416</v>
      </c>
      <c r="AY251" s="38" t="s">
        <v>68</v>
      </c>
    </row>
    <row r="252" spans="1:51" x14ac:dyDescent="0.3">
      <c r="A252" s="34" t="s">
        <v>512</v>
      </c>
      <c r="B252" s="35" t="s">
        <v>511</v>
      </c>
      <c r="C252" s="39">
        <v>43.296999999999997</v>
      </c>
      <c r="D252" s="39">
        <v>5.3739999999999997</v>
      </c>
      <c r="E252" s="9">
        <v>1</v>
      </c>
      <c r="F252" t="s">
        <v>53</v>
      </c>
      <c r="G252" s="10" t="s">
        <v>54</v>
      </c>
      <c r="H252" s="11">
        <v>-30</v>
      </c>
      <c r="I252" s="11">
        <v>200</v>
      </c>
      <c r="J252" s="12" t="s">
        <v>413</v>
      </c>
      <c r="K252" s="36" t="s">
        <v>414</v>
      </c>
      <c r="L252" s="12" t="s">
        <v>415</v>
      </c>
      <c r="M252" s="37" t="s">
        <v>421</v>
      </c>
      <c r="N252" s="10" t="s">
        <v>422</v>
      </c>
      <c r="O252" s="10" t="s">
        <v>60</v>
      </c>
      <c r="P252" s="10" t="s">
        <v>61</v>
      </c>
      <c r="S252" s="10">
        <v>7</v>
      </c>
      <c r="V252" s="10">
        <v>3</v>
      </c>
      <c r="W252" s="12">
        <v>4</v>
      </c>
      <c r="X252" s="10">
        <v>0</v>
      </c>
      <c r="AA252" s="10">
        <v>0</v>
      </c>
      <c r="AB252" s="10">
        <v>0</v>
      </c>
      <c r="AC252" s="10">
        <v>0</v>
      </c>
      <c r="AE252" s="10">
        <v>0</v>
      </c>
      <c r="AG252" s="14">
        <v>0</v>
      </c>
      <c r="AJ252" s="14">
        <v>0</v>
      </c>
      <c r="AK252" s="14">
        <v>0</v>
      </c>
      <c r="AL252" s="14">
        <v>0</v>
      </c>
      <c r="AM252" s="14">
        <v>0</v>
      </c>
      <c r="AO252" s="14">
        <v>0</v>
      </c>
      <c r="AP252" s="14"/>
      <c r="AQ252" s="14"/>
      <c r="AR252" s="14">
        <v>0</v>
      </c>
      <c r="AS252" s="14">
        <v>0</v>
      </c>
      <c r="AT252" s="14">
        <v>0</v>
      </c>
      <c r="AU252" s="14">
        <v>0</v>
      </c>
      <c r="AX252" s="38" t="s">
        <v>416</v>
      </c>
      <c r="AY252" s="38" t="s">
        <v>68</v>
      </c>
    </row>
    <row r="253" spans="1:51" x14ac:dyDescent="0.3">
      <c r="A253" s="34" t="s">
        <v>513</v>
      </c>
      <c r="B253" s="34" t="s">
        <v>514</v>
      </c>
      <c r="C253" s="8">
        <v>43.61</v>
      </c>
      <c r="D253" s="8">
        <v>4.0090000000000003</v>
      </c>
      <c r="E253" s="9">
        <v>3</v>
      </c>
      <c r="F253" t="s">
        <v>53</v>
      </c>
      <c r="G253" s="10" t="s">
        <v>54</v>
      </c>
      <c r="H253" s="11">
        <v>-30</v>
      </c>
      <c r="I253" s="11">
        <v>200</v>
      </c>
      <c r="J253" s="12" t="s">
        <v>413</v>
      </c>
      <c r="K253" s="36" t="s">
        <v>414</v>
      </c>
      <c r="L253" s="10" t="s">
        <v>415</v>
      </c>
      <c r="M253" s="37" t="s">
        <v>59</v>
      </c>
      <c r="O253" s="10" t="s">
        <v>60</v>
      </c>
      <c r="P253" s="10" t="s">
        <v>61</v>
      </c>
      <c r="S253" s="10">
        <v>0</v>
      </c>
      <c r="V253" s="10">
        <v>0</v>
      </c>
      <c r="W253" s="12">
        <v>1</v>
      </c>
      <c r="X253" s="10">
        <v>0</v>
      </c>
      <c r="AA253" s="10">
        <v>0</v>
      </c>
      <c r="AB253" s="10">
        <v>0</v>
      </c>
      <c r="AC253" s="10">
        <v>0</v>
      </c>
      <c r="AE253" s="10">
        <v>0</v>
      </c>
      <c r="AG253" s="14">
        <v>0</v>
      </c>
      <c r="AJ253" s="14">
        <v>0</v>
      </c>
      <c r="AK253" s="14">
        <v>0</v>
      </c>
      <c r="AL253" s="14">
        <v>0</v>
      </c>
      <c r="AM253" s="14">
        <v>0</v>
      </c>
      <c r="AO253" s="14">
        <v>0</v>
      </c>
      <c r="AP253" s="14"/>
      <c r="AQ253" s="14"/>
      <c r="AR253" s="14">
        <v>0</v>
      </c>
      <c r="AS253" s="14">
        <v>0</v>
      </c>
      <c r="AT253" s="14">
        <v>0</v>
      </c>
      <c r="AU253" s="14">
        <v>0</v>
      </c>
      <c r="AX253" s="16" t="s">
        <v>457</v>
      </c>
      <c r="AY253" s="16" t="s">
        <v>85</v>
      </c>
    </row>
    <row r="254" spans="1:51" x14ac:dyDescent="0.3">
      <c r="A254" s="34" t="s">
        <v>515</v>
      </c>
      <c r="B254" s="35" t="s">
        <v>247</v>
      </c>
      <c r="C254" s="8">
        <v>43.416666999999997</v>
      </c>
      <c r="D254" s="8">
        <v>3.6</v>
      </c>
      <c r="E254" s="9">
        <v>1</v>
      </c>
      <c r="F254" t="s">
        <v>53</v>
      </c>
      <c r="G254" s="10" t="s">
        <v>54</v>
      </c>
      <c r="H254" s="11">
        <v>-30</v>
      </c>
      <c r="I254" s="11">
        <v>200</v>
      </c>
      <c r="J254" s="12" t="s">
        <v>413</v>
      </c>
      <c r="K254" s="36" t="s">
        <v>414</v>
      </c>
      <c r="L254" s="10" t="s">
        <v>415</v>
      </c>
      <c r="M254" s="37" t="s">
        <v>59</v>
      </c>
      <c r="N254" s="10" t="s">
        <v>444</v>
      </c>
      <c r="O254" s="10" t="s">
        <v>60</v>
      </c>
      <c r="P254" s="10" t="s">
        <v>61</v>
      </c>
      <c r="S254" s="10">
        <v>4</v>
      </c>
      <c r="V254" s="10">
        <v>0</v>
      </c>
      <c r="W254" s="12">
        <v>4</v>
      </c>
      <c r="X254" s="10">
        <v>0</v>
      </c>
      <c r="AA254" s="10">
        <v>0</v>
      </c>
      <c r="AB254" s="10">
        <v>0</v>
      </c>
      <c r="AC254" s="10">
        <v>0</v>
      </c>
      <c r="AE254" s="10">
        <v>0</v>
      </c>
      <c r="AG254" s="14">
        <v>0</v>
      </c>
      <c r="AJ254" s="14">
        <v>0</v>
      </c>
      <c r="AK254" s="14">
        <v>0</v>
      </c>
      <c r="AL254" s="14">
        <v>0</v>
      </c>
      <c r="AM254" s="14">
        <v>0</v>
      </c>
      <c r="AO254" s="14">
        <v>0</v>
      </c>
      <c r="AP254" s="14"/>
      <c r="AQ254" s="14"/>
      <c r="AR254" s="14">
        <v>0</v>
      </c>
      <c r="AS254" s="14">
        <v>0</v>
      </c>
      <c r="AT254" s="14">
        <v>0</v>
      </c>
      <c r="AU254" s="14">
        <v>0</v>
      </c>
      <c r="AX254" s="38" t="s">
        <v>477</v>
      </c>
      <c r="AY254" s="38" t="s">
        <v>427</v>
      </c>
    </row>
    <row r="255" spans="1:51" x14ac:dyDescent="0.3">
      <c r="A255" s="34" t="s">
        <v>516</v>
      </c>
      <c r="B255" s="35" t="s">
        <v>369</v>
      </c>
      <c r="C255" s="8">
        <v>44.233333000000002</v>
      </c>
      <c r="D255" s="8">
        <v>4.7166670000000002</v>
      </c>
      <c r="E255" s="9">
        <v>83</v>
      </c>
      <c r="F255" t="s">
        <v>53</v>
      </c>
      <c r="G255" s="10" t="s">
        <v>54</v>
      </c>
      <c r="H255" s="11">
        <v>-30</v>
      </c>
      <c r="I255" s="11">
        <v>200</v>
      </c>
      <c r="J255" s="12" t="s">
        <v>413</v>
      </c>
      <c r="K255" s="36" t="s">
        <v>414</v>
      </c>
      <c r="L255" s="12" t="s">
        <v>415</v>
      </c>
      <c r="M255" s="37" t="s">
        <v>59</v>
      </c>
      <c r="O255" s="10" t="s">
        <v>60</v>
      </c>
      <c r="P255" s="10" t="s">
        <v>61</v>
      </c>
      <c r="S255" s="10">
        <v>0</v>
      </c>
      <c r="V255" s="10">
        <v>19</v>
      </c>
      <c r="W255" s="12">
        <v>2</v>
      </c>
      <c r="X255" s="10">
        <v>0</v>
      </c>
      <c r="AA255" s="10">
        <v>0</v>
      </c>
      <c r="AB255" s="10">
        <v>0</v>
      </c>
      <c r="AC255" s="10">
        <v>0</v>
      </c>
      <c r="AE255" s="10">
        <v>0</v>
      </c>
      <c r="AG255" s="14">
        <v>0</v>
      </c>
      <c r="AJ255" s="14">
        <v>0</v>
      </c>
      <c r="AK255" s="14">
        <v>0</v>
      </c>
      <c r="AL255" s="14">
        <v>0</v>
      </c>
      <c r="AM255" s="14">
        <v>0</v>
      </c>
      <c r="AO255" s="14">
        <v>0</v>
      </c>
      <c r="AP255" s="14"/>
      <c r="AQ255" s="14"/>
      <c r="AR255" s="14">
        <v>0</v>
      </c>
      <c r="AS255" s="14">
        <v>0</v>
      </c>
      <c r="AT255" s="14">
        <v>0</v>
      </c>
      <c r="AU255" s="14">
        <v>0</v>
      </c>
      <c r="AX255" s="38" t="s">
        <v>416</v>
      </c>
      <c r="AY255" s="38" t="s">
        <v>68</v>
      </c>
    </row>
    <row r="256" spans="1:51" x14ac:dyDescent="0.3">
      <c r="A256" s="34" t="s">
        <v>516</v>
      </c>
      <c r="B256" s="35" t="s">
        <v>369</v>
      </c>
      <c r="C256" s="8">
        <v>44.233333000000002</v>
      </c>
      <c r="D256" s="8">
        <v>4.7166670000000002</v>
      </c>
      <c r="E256" s="9">
        <v>83</v>
      </c>
      <c r="F256" t="s">
        <v>53</v>
      </c>
      <c r="G256" s="10" t="s">
        <v>54</v>
      </c>
      <c r="H256" s="11">
        <v>-125</v>
      </c>
      <c r="I256" s="11">
        <v>-30</v>
      </c>
      <c r="J256" s="12" t="s">
        <v>413</v>
      </c>
      <c r="K256" s="36" t="s">
        <v>414</v>
      </c>
      <c r="L256" s="12" t="s">
        <v>449</v>
      </c>
      <c r="M256" s="37" t="s">
        <v>59</v>
      </c>
      <c r="O256" s="10" t="s">
        <v>60</v>
      </c>
      <c r="P256" s="10" t="s">
        <v>61</v>
      </c>
      <c r="S256" s="10">
        <v>1</v>
      </c>
      <c r="V256" s="10">
        <v>0</v>
      </c>
      <c r="W256" s="12">
        <v>1</v>
      </c>
      <c r="X256" s="10">
        <v>0</v>
      </c>
      <c r="AA256" s="10">
        <v>0</v>
      </c>
      <c r="AB256" s="10">
        <v>0</v>
      </c>
      <c r="AC256" s="10">
        <v>0</v>
      </c>
      <c r="AE256" s="10">
        <v>0</v>
      </c>
      <c r="AG256" s="14">
        <v>0</v>
      </c>
      <c r="AJ256" s="14">
        <v>0</v>
      </c>
      <c r="AK256" s="14">
        <v>0</v>
      </c>
      <c r="AL256" s="14">
        <v>0</v>
      </c>
      <c r="AM256" s="14">
        <v>0</v>
      </c>
      <c r="AO256" s="14">
        <v>0</v>
      </c>
      <c r="AP256" s="14"/>
      <c r="AQ256" s="14"/>
      <c r="AR256" s="14">
        <v>0</v>
      </c>
      <c r="AS256" s="14">
        <v>0</v>
      </c>
      <c r="AT256" s="14">
        <v>0</v>
      </c>
      <c r="AU256" s="14">
        <v>0</v>
      </c>
      <c r="AX256" s="38" t="s">
        <v>416</v>
      </c>
      <c r="AY256" s="38" t="s">
        <v>68</v>
      </c>
    </row>
    <row r="257" spans="1:51" x14ac:dyDescent="0.3">
      <c r="A257" s="34" t="s">
        <v>517</v>
      </c>
      <c r="B257" s="34" t="s">
        <v>518</v>
      </c>
      <c r="C257" s="8">
        <v>43.516666999999998</v>
      </c>
      <c r="D257" s="8">
        <v>3.6833330000000002</v>
      </c>
      <c r="E257" s="9">
        <v>60</v>
      </c>
      <c r="F257" t="s">
        <v>53</v>
      </c>
      <c r="G257" s="10" t="s">
        <v>54</v>
      </c>
      <c r="H257" s="11">
        <v>-30</v>
      </c>
      <c r="I257" s="11">
        <v>200</v>
      </c>
      <c r="J257" s="12" t="s">
        <v>413</v>
      </c>
      <c r="K257" s="36" t="s">
        <v>414</v>
      </c>
      <c r="L257" s="10" t="s">
        <v>415</v>
      </c>
      <c r="M257" s="37" t="s">
        <v>59</v>
      </c>
      <c r="N257" s="10" t="s">
        <v>444</v>
      </c>
      <c r="O257" s="10" t="s">
        <v>60</v>
      </c>
      <c r="P257" s="10" t="s">
        <v>61</v>
      </c>
      <c r="S257" s="10">
        <v>1</v>
      </c>
      <c r="V257" s="10">
        <v>0</v>
      </c>
      <c r="W257" s="12">
        <v>2</v>
      </c>
      <c r="X257" s="10">
        <v>0</v>
      </c>
      <c r="AA257" s="10">
        <v>0</v>
      </c>
      <c r="AB257" s="10">
        <v>0</v>
      </c>
      <c r="AC257" s="10">
        <v>0</v>
      </c>
      <c r="AE257" s="14">
        <v>0</v>
      </c>
      <c r="AG257" s="14">
        <v>0</v>
      </c>
      <c r="AJ257" s="14">
        <v>0</v>
      </c>
      <c r="AK257" s="14">
        <v>0</v>
      </c>
      <c r="AL257" s="14">
        <v>0</v>
      </c>
      <c r="AM257" s="14">
        <v>0</v>
      </c>
      <c r="AO257" s="14">
        <v>0</v>
      </c>
      <c r="AP257" s="14"/>
      <c r="AQ257" s="14"/>
      <c r="AR257" s="14">
        <v>0</v>
      </c>
      <c r="AS257" s="14">
        <v>0</v>
      </c>
      <c r="AT257" s="14">
        <v>0</v>
      </c>
      <c r="AU257" s="14">
        <v>0</v>
      </c>
      <c r="AX257" s="16" t="s">
        <v>442</v>
      </c>
      <c r="AY257" s="16" t="s">
        <v>350</v>
      </c>
    </row>
    <row r="258" spans="1:51" x14ac:dyDescent="0.3">
      <c r="A258" s="42" t="s">
        <v>519</v>
      </c>
      <c r="B258" s="42" t="s">
        <v>520</v>
      </c>
      <c r="C258" s="8">
        <v>44.033332999999999</v>
      </c>
      <c r="D258" s="8">
        <v>5</v>
      </c>
      <c r="E258" s="9">
        <v>47</v>
      </c>
      <c r="F258" t="s">
        <v>53</v>
      </c>
      <c r="G258" s="10" t="s">
        <v>54</v>
      </c>
      <c r="H258" s="11">
        <v>-30</v>
      </c>
      <c r="I258" s="11">
        <v>200</v>
      </c>
      <c r="J258" s="12" t="s">
        <v>413</v>
      </c>
      <c r="K258" s="36" t="s">
        <v>414</v>
      </c>
      <c r="L258" s="10" t="s">
        <v>415</v>
      </c>
      <c r="M258" s="40" t="s">
        <v>59</v>
      </c>
      <c r="O258" s="10" t="s">
        <v>60</v>
      </c>
      <c r="P258" s="10" t="s">
        <v>61</v>
      </c>
      <c r="S258" s="10">
        <v>12</v>
      </c>
      <c r="V258" s="10">
        <v>0</v>
      </c>
      <c r="W258" s="10">
        <v>6</v>
      </c>
      <c r="X258" s="10">
        <v>0</v>
      </c>
      <c r="AA258" s="10">
        <v>0</v>
      </c>
      <c r="AB258" s="10">
        <v>0</v>
      </c>
      <c r="AC258" s="10">
        <v>0</v>
      </c>
      <c r="AE258" s="10">
        <v>0</v>
      </c>
      <c r="AG258" s="14">
        <v>0</v>
      </c>
      <c r="AJ258" s="14">
        <v>0</v>
      </c>
      <c r="AK258" s="14">
        <v>0</v>
      </c>
      <c r="AL258" s="14">
        <v>0</v>
      </c>
      <c r="AM258" s="14">
        <v>0</v>
      </c>
      <c r="AO258" s="14">
        <v>0</v>
      </c>
      <c r="AP258" s="14"/>
      <c r="AQ258" s="14"/>
      <c r="AR258" s="14">
        <v>0</v>
      </c>
      <c r="AS258" s="14">
        <v>0</v>
      </c>
      <c r="AT258" s="14">
        <v>0</v>
      </c>
      <c r="AU258" s="14">
        <v>0</v>
      </c>
      <c r="AX258" s="15" t="s">
        <v>521</v>
      </c>
      <c r="AY258" s="15" t="s">
        <v>350</v>
      </c>
    </row>
    <row r="259" spans="1:51" ht="28.8" x14ac:dyDescent="0.3">
      <c r="A259" s="16" t="s">
        <v>522</v>
      </c>
      <c r="B259" s="38" t="s">
        <v>523</v>
      </c>
      <c r="C259" s="25">
        <v>43.130229999999997</v>
      </c>
      <c r="D259" s="25">
        <v>3.02373</v>
      </c>
      <c r="E259" s="26">
        <v>9</v>
      </c>
      <c r="F259" s="15" t="s">
        <v>53</v>
      </c>
      <c r="G259" s="14" t="s">
        <v>54</v>
      </c>
      <c r="H259" s="28">
        <v>-30</v>
      </c>
      <c r="I259" s="28">
        <v>200</v>
      </c>
      <c r="J259" s="18" t="s">
        <v>413</v>
      </c>
      <c r="K259" s="41" t="s">
        <v>414</v>
      </c>
      <c r="L259" s="18" t="s">
        <v>415</v>
      </c>
      <c r="M259" s="18" t="s">
        <v>59</v>
      </c>
      <c r="N259" s="14" t="s">
        <v>119</v>
      </c>
      <c r="O259" s="14" t="s">
        <v>61</v>
      </c>
      <c r="P259" s="14" t="s">
        <v>61</v>
      </c>
      <c r="Q259" s="15"/>
      <c r="R259" s="15"/>
      <c r="S259" s="14">
        <v>2</v>
      </c>
      <c r="T259" s="15"/>
      <c r="U259" s="15"/>
      <c r="V259" s="10">
        <v>0</v>
      </c>
      <c r="W259" s="18">
        <v>22</v>
      </c>
      <c r="X259" s="14">
        <v>0</v>
      </c>
      <c r="Y259" s="14"/>
      <c r="Z259" s="14"/>
      <c r="AA259" s="14">
        <v>0</v>
      </c>
      <c r="AB259" s="14">
        <v>0</v>
      </c>
      <c r="AC259" s="14">
        <v>0</v>
      </c>
      <c r="AD259" s="14"/>
      <c r="AE259" s="14">
        <v>0</v>
      </c>
      <c r="AF259" s="14"/>
      <c r="AG259" s="14">
        <v>0</v>
      </c>
      <c r="AH259" s="14"/>
      <c r="AI259" s="14"/>
      <c r="AJ259" s="14">
        <v>0</v>
      </c>
      <c r="AK259" s="14">
        <v>0</v>
      </c>
      <c r="AL259" s="14">
        <v>0</v>
      </c>
      <c r="AM259" s="14">
        <v>0</v>
      </c>
      <c r="AN259" s="14"/>
      <c r="AO259" s="14">
        <v>0</v>
      </c>
      <c r="AP259" s="14"/>
      <c r="AQ259" s="14"/>
      <c r="AR259" s="14">
        <v>0</v>
      </c>
      <c r="AS259" s="14">
        <v>0</v>
      </c>
      <c r="AT259" s="14">
        <v>0</v>
      </c>
      <c r="AU259" s="14">
        <v>0</v>
      </c>
      <c r="AV259" s="14"/>
      <c r="AW259" s="15" t="s">
        <v>524</v>
      </c>
      <c r="AX259" s="38" t="s">
        <v>477</v>
      </c>
      <c r="AY259" s="38" t="s">
        <v>427</v>
      </c>
    </row>
    <row r="260" spans="1:51" x14ac:dyDescent="0.3">
      <c r="A260" s="34" t="s">
        <v>525</v>
      </c>
      <c r="B260" s="34" t="s">
        <v>523</v>
      </c>
      <c r="C260" t="s">
        <v>526</v>
      </c>
      <c r="D260" t="s">
        <v>527</v>
      </c>
      <c r="E260" s="26">
        <v>9</v>
      </c>
      <c r="F260" t="s">
        <v>53</v>
      </c>
      <c r="G260" s="10" t="s">
        <v>54</v>
      </c>
      <c r="H260" s="11">
        <v>-30</v>
      </c>
      <c r="I260" s="11">
        <v>200</v>
      </c>
      <c r="J260" s="12" t="s">
        <v>413</v>
      </c>
      <c r="K260" s="36" t="s">
        <v>414</v>
      </c>
      <c r="L260" s="12" t="s">
        <v>415</v>
      </c>
      <c r="M260" s="37" t="s">
        <v>505</v>
      </c>
      <c r="N260" s="10" t="s">
        <v>422</v>
      </c>
      <c r="O260" s="10" t="s">
        <v>60</v>
      </c>
      <c r="P260" s="10" t="s">
        <v>61</v>
      </c>
      <c r="S260" s="10">
        <v>41</v>
      </c>
      <c r="V260" s="10">
        <v>0</v>
      </c>
      <c r="W260" s="10">
        <v>9</v>
      </c>
      <c r="X260" s="10">
        <v>0</v>
      </c>
      <c r="AA260" s="10">
        <v>0</v>
      </c>
      <c r="AB260" s="10">
        <v>0</v>
      </c>
      <c r="AC260" s="10">
        <v>0</v>
      </c>
      <c r="AE260" s="10">
        <v>0</v>
      </c>
      <c r="AG260" s="14">
        <v>0</v>
      </c>
      <c r="AJ260" s="14">
        <v>0</v>
      </c>
      <c r="AK260" s="14">
        <v>0</v>
      </c>
      <c r="AL260" s="14">
        <v>0</v>
      </c>
      <c r="AM260" s="14">
        <v>0</v>
      </c>
      <c r="AO260" s="14">
        <v>0</v>
      </c>
      <c r="AP260" s="14"/>
      <c r="AQ260" s="14"/>
      <c r="AR260" s="14">
        <v>0</v>
      </c>
      <c r="AS260" s="14">
        <v>0</v>
      </c>
      <c r="AT260" s="14">
        <v>0</v>
      </c>
      <c r="AU260" s="14">
        <v>0</v>
      </c>
      <c r="AX260" s="16" t="s">
        <v>477</v>
      </c>
      <c r="AY260" s="16" t="s">
        <v>427</v>
      </c>
    </row>
    <row r="261" spans="1:51" x14ac:dyDescent="0.3">
      <c r="A261" s="42" t="s">
        <v>528</v>
      </c>
      <c r="B261" s="35" t="s">
        <v>523</v>
      </c>
      <c r="C261" s="8">
        <v>43.183332999999998</v>
      </c>
      <c r="D261" s="8">
        <v>3</v>
      </c>
      <c r="E261" s="9">
        <v>15</v>
      </c>
      <c r="F261" t="s">
        <v>53</v>
      </c>
      <c r="G261" s="10" t="s">
        <v>54</v>
      </c>
      <c r="H261" s="11">
        <v>-30</v>
      </c>
      <c r="I261" s="11">
        <v>200</v>
      </c>
      <c r="J261" s="12" t="s">
        <v>413</v>
      </c>
      <c r="K261" s="36" t="s">
        <v>414</v>
      </c>
      <c r="L261" s="12" t="s">
        <v>415</v>
      </c>
      <c r="M261" s="40" t="s">
        <v>421</v>
      </c>
      <c r="N261" s="10" t="s">
        <v>444</v>
      </c>
      <c r="O261" s="10" t="s">
        <v>61</v>
      </c>
      <c r="P261" s="10" t="s">
        <v>60</v>
      </c>
      <c r="S261" s="10">
        <v>139</v>
      </c>
      <c r="V261" s="10">
        <v>2</v>
      </c>
      <c r="W261" s="10">
        <v>7</v>
      </c>
      <c r="X261" s="10">
        <v>0</v>
      </c>
      <c r="AA261" s="10">
        <v>0</v>
      </c>
      <c r="AB261" s="10">
        <v>0</v>
      </c>
      <c r="AC261" s="10">
        <v>0</v>
      </c>
      <c r="AE261" s="10">
        <v>0</v>
      </c>
      <c r="AG261" s="14">
        <v>0</v>
      </c>
      <c r="AJ261" s="14">
        <v>0</v>
      </c>
      <c r="AK261" s="14">
        <v>0</v>
      </c>
      <c r="AL261" s="14">
        <v>0</v>
      </c>
      <c r="AM261" s="14">
        <v>0</v>
      </c>
      <c r="AO261" s="14">
        <v>0</v>
      </c>
      <c r="AP261" s="14"/>
      <c r="AQ261" s="14"/>
      <c r="AR261" s="14">
        <v>0</v>
      </c>
      <c r="AS261" s="14">
        <v>0</v>
      </c>
      <c r="AT261" s="14">
        <v>0</v>
      </c>
      <c r="AU261" s="14">
        <v>0</v>
      </c>
      <c r="AW261" t="s">
        <v>529</v>
      </c>
      <c r="AX261" s="38" t="s">
        <v>530</v>
      </c>
      <c r="AY261" s="38" t="s">
        <v>350</v>
      </c>
    </row>
    <row r="262" spans="1:51" x14ac:dyDescent="0.3">
      <c r="A262" s="42" t="s">
        <v>531</v>
      </c>
      <c r="B262" s="42" t="s">
        <v>523</v>
      </c>
      <c r="C262" s="8">
        <v>43.152059999999999</v>
      </c>
      <c r="D262" s="8">
        <v>3.00339</v>
      </c>
      <c r="E262" s="9">
        <v>9</v>
      </c>
      <c r="F262" t="s">
        <v>53</v>
      </c>
      <c r="G262" s="10" t="s">
        <v>54</v>
      </c>
      <c r="H262" s="11">
        <v>-30</v>
      </c>
      <c r="I262" s="11">
        <v>200</v>
      </c>
      <c r="J262" s="12" t="s">
        <v>413</v>
      </c>
      <c r="K262" s="36" t="s">
        <v>414</v>
      </c>
      <c r="L262" s="10" t="s">
        <v>415</v>
      </c>
      <c r="M262" s="40" t="s">
        <v>59</v>
      </c>
      <c r="N262" s="10" t="s">
        <v>422</v>
      </c>
      <c r="O262" s="10" t="s">
        <v>60</v>
      </c>
      <c r="P262" s="10" t="s">
        <v>61</v>
      </c>
      <c r="S262" s="10">
        <v>0</v>
      </c>
      <c r="V262" s="10">
        <v>0</v>
      </c>
      <c r="W262" s="10">
        <v>3</v>
      </c>
      <c r="X262" s="10">
        <v>0</v>
      </c>
      <c r="AA262" s="10">
        <v>0</v>
      </c>
      <c r="AB262" s="10">
        <v>0</v>
      </c>
      <c r="AC262" s="10">
        <v>0</v>
      </c>
      <c r="AE262" s="10">
        <v>0</v>
      </c>
      <c r="AG262" s="14">
        <v>0</v>
      </c>
      <c r="AJ262" s="14">
        <v>0</v>
      </c>
      <c r="AK262" s="14">
        <v>0</v>
      </c>
      <c r="AL262" s="14">
        <v>0</v>
      </c>
      <c r="AM262" s="14">
        <v>0</v>
      </c>
      <c r="AO262" s="14">
        <v>0</v>
      </c>
      <c r="AP262" s="14"/>
      <c r="AQ262" s="14"/>
      <c r="AR262" s="14">
        <v>0</v>
      </c>
      <c r="AS262" s="14">
        <v>0</v>
      </c>
      <c r="AT262" s="14">
        <v>0</v>
      </c>
      <c r="AU262" s="14">
        <v>0</v>
      </c>
      <c r="AX262" s="15" t="s">
        <v>477</v>
      </c>
      <c r="AY262" s="15" t="s">
        <v>427</v>
      </c>
    </row>
    <row r="263" spans="1:51" x14ac:dyDescent="0.3">
      <c r="A263" s="42" t="s">
        <v>532</v>
      </c>
      <c r="B263" s="42" t="s">
        <v>533</v>
      </c>
      <c r="C263" s="8">
        <v>43.53</v>
      </c>
      <c r="D263" s="8">
        <v>3.33</v>
      </c>
      <c r="E263" s="9">
        <v>88</v>
      </c>
      <c r="F263" t="s">
        <v>53</v>
      </c>
      <c r="G263" s="10" t="s">
        <v>54</v>
      </c>
      <c r="H263" s="11">
        <v>-30</v>
      </c>
      <c r="I263" s="11">
        <v>200</v>
      </c>
      <c r="J263" s="12" t="s">
        <v>413</v>
      </c>
      <c r="K263" s="36" t="s">
        <v>414</v>
      </c>
      <c r="L263" s="10" t="s">
        <v>415</v>
      </c>
      <c r="M263" s="40" t="s">
        <v>59</v>
      </c>
      <c r="O263" s="10" t="s">
        <v>60</v>
      </c>
      <c r="P263" s="10" t="s">
        <v>61</v>
      </c>
      <c r="S263" s="10">
        <v>4</v>
      </c>
      <c r="V263" s="10">
        <v>0</v>
      </c>
      <c r="W263" s="12">
        <v>6</v>
      </c>
      <c r="X263" s="10">
        <v>0</v>
      </c>
      <c r="AA263" s="10">
        <v>0</v>
      </c>
      <c r="AB263" s="10">
        <v>0</v>
      </c>
      <c r="AC263" s="10">
        <v>0</v>
      </c>
      <c r="AE263" s="10">
        <v>0</v>
      </c>
      <c r="AG263" s="14">
        <v>0</v>
      </c>
      <c r="AJ263" s="14">
        <v>0</v>
      </c>
      <c r="AK263" s="14">
        <v>0</v>
      </c>
      <c r="AL263" s="14">
        <v>0</v>
      </c>
      <c r="AM263" s="14">
        <v>0</v>
      </c>
      <c r="AO263" s="14">
        <v>0</v>
      </c>
      <c r="AP263" s="14"/>
      <c r="AQ263" s="14"/>
      <c r="AR263" s="14">
        <v>0</v>
      </c>
      <c r="AS263" s="14">
        <v>0</v>
      </c>
      <c r="AT263" s="14">
        <v>0</v>
      </c>
      <c r="AU263" s="14">
        <v>0</v>
      </c>
      <c r="AX263" s="15" t="s">
        <v>438</v>
      </c>
      <c r="AY263" s="15" t="s">
        <v>439</v>
      </c>
    </row>
    <row r="264" spans="1:51" x14ac:dyDescent="0.3">
      <c r="A264" s="42" t="s">
        <v>534</v>
      </c>
      <c r="B264" s="42" t="s">
        <v>180</v>
      </c>
      <c r="C264" s="8">
        <v>43.833333000000003</v>
      </c>
      <c r="D264" s="8">
        <v>4.3499999999999996</v>
      </c>
      <c r="E264" s="9">
        <v>116</v>
      </c>
      <c r="F264" t="s">
        <v>53</v>
      </c>
      <c r="G264" s="10" t="s">
        <v>54</v>
      </c>
      <c r="H264" s="11">
        <v>-30</v>
      </c>
      <c r="I264" s="11">
        <v>200</v>
      </c>
      <c r="J264" s="12" t="s">
        <v>413</v>
      </c>
      <c r="K264" s="36" t="s">
        <v>414</v>
      </c>
      <c r="L264" s="10" t="s">
        <v>415</v>
      </c>
      <c r="M264" s="40" t="s">
        <v>92</v>
      </c>
      <c r="O264" s="10" t="s">
        <v>60</v>
      </c>
      <c r="P264" s="10" t="s">
        <v>61</v>
      </c>
      <c r="S264" s="10">
        <v>10</v>
      </c>
      <c r="V264" s="10">
        <v>115</v>
      </c>
      <c r="W264" s="12">
        <v>11</v>
      </c>
      <c r="X264" s="10">
        <v>1</v>
      </c>
      <c r="AA264" s="10">
        <v>2</v>
      </c>
      <c r="AB264" s="10">
        <v>0</v>
      </c>
      <c r="AC264" s="10">
        <v>1</v>
      </c>
      <c r="AE264" s="10">
        <v>0</v>
      </c>
      <c r="AF264" s="10" t="s">
        <v>495</v>
      </c>
      <c r="AG264" s="14">
        <v>0</v>
      </c>
      <c r="AJ264" s="14">
        <v>0</v>
      </c>
      <c r="AK264" s="14">
        <v>0</v>
      </c>
      <c r="AL264" s="14">
        <v>0</v>
      </c>
      <c r="AM264" s="14">
        <v>0</v>
      </c>
      <c r="AO264" s="14">
        <v>0</v>
      </c>
      <c r="AP264" s="14"/>
      <c r="AQ264" s="14"/>
      <c r="AR264" s="14">
        <v>0</v>
      </c>
      <c r="AS264" s="14">
        <v>0</v>
      </c>
      <c r="AT264" s="14">
        <v>0</v>
      </c>
      <c r="AU264" s="14">
        <v>0</v>
      </c>
      <c r="AX264" s="16" t="s">
        <v>535</v>
      </c>
      <c r="AY264" s="16" t="s">
        <v>536</v>
      </c>
    </row>
    <row r="265" spans="1:51" x14ac:dyDescent="0.3">
      <c r="A265" s="42" t="s">
        <v>537</v>
      </c>
      <c r="B265" s="35" t="s">
        <v>180</v>
      </c>
      <c r="C265" s="8">
        <v>43.833333000000003</v>
      </c>
      <c r="D265" s="8">
        <v>4.3499999999999996</v>
      </c>
      <c r="E265" s="9">
        <v>116</v>
      </c>
      <c r="F265" t="s">
        <v>53</v>
      </c>
      <c r="G265" s="10" t="s">
        <v>54</v>
      </c>
      <c r="H265" s="11">
        <v>-30</v>
      </c>
      <c r="I265" s="11">
        <v>200</v>
      </c>
      <c r="J265" s="12" t="s">
        <v>413</v>
      </c>
      <c r="K265" s="36" t="s">
        <v>414</v>
      </c>
      <c r="L265" s="10" t="s">
        <v>415</v>
      </c>
      <c r="M265" s="37" t="s">
        <v>421</v>
      </c>
      <c r="N265" s="10" t="s">
        <v>444</v>
      </c>
      <c r="O265" s="10" t="s">
        <v>60</v>
      </c>
      <c r="P265" s="10" t="s">
        <v>61</v>
      </c>
      <c r="S265" s="10">
        <v>681</v>
      </c>
      <c r="V265" s="10">
        <v>568</v>
      </c>
      <c r="W265" s="10">
        <v>2</v>
      </c>
      <c r="X265" s="10">
        <v>0</v>
      </c>
      <c r="AA265" s="10">
        <v>0</v>
      </c>
      <c r="AB265" s="10">
        <v>0</v>
      </c>
      <c r="AC265" s="10">
        <v>0</v>
      </c>
      <c r="AE265" s="10">
        <v>0</v>
      </c>
      <c r="AG265" s="14">
        <v>0</v>
      </c>
      <c r="AJ265" s="14">
        <v>0</v>
      </c>
      <c r="AK265" s="14">
        <v>0</v>
      </c>
      <c r="AL265" s="14">
        <v>0</v>
      </c>
      <c r="AM265" s="14">
        <v>0</v>
      </c>
      <c r="AO265" s="14">
        <v>0</v>
      </c>
      <c r="AP265" s="14"/>
      <c r="AQ265" s="14"/>
      <c r="AR265" s="14">
        <v>0</v>
      </c>
      <c r="AS265" s="14">
        <v>0</v>
      </c>
      <c r="AT265" s="14">
        <v>0</v>
      </c>
      <c r="AU265" s="14">
        <v>0</v>
      </c>
      <c r="AX265" s="38" t="s">
        <v>538</v>
      </c>
      <c r="AY265" s="38" t="s">
        <v>350</v>
      </c>
    </row>
    <row r="266" spans="1:51" x14ac:dyDescent="0.3">
      <c r="A266" s="42" t="s">
        <v>539</v>
      </c>
      <c r="B266" s="42" t="s">
        <v>180</v>
      </c>
      <c r="C266" s="8">
        <v>43.833333000000003</v>
      </c>
      <c r="D266" s="8">
        <v>4.3499999999999996</v>
      </c>
      <c r="E266" s="9">
        <v>116</v>
      </c>
      <c r="F266" t="s">
        <v>53</v>
      </c>
      <c r="G266" s="10" t="s">
        <v>54</v>
      </c>
      <c r="H266" s="11">
        <v>-30</v>
      </c>
      <c r="I266" s="11">
        <v>200</v>
      </c>
      <c r="J266" s="12" t="s">
        <v>413</v>
      </c>
      <c r="K266" s="36" t="s">
        <v>414</v>
      </c>
      <c r="L266" s="12" t="s">
        <v>415</v>
      </c>
      <c r="M266" s="40" t="s">
        <v>59</v>
      </c>
      <c r="N266" s="10" t="s">
        <v>540</v>
      </c>
      <c r="O266" s="10" t="s">
        <v>60</v>
      </c>
      <c r="P266" s="10" t="s">
        <v>61</v>
      </c>
      <c r="S266" s="10">
        <v>1</v>
      </c>
      <c r="V266" s="10">
        <v>0</v>
      </c>
      <c r="W266" s="10">
        <v>2</v>
      </c>
      <c r="X266" s="10">
        <v>0</v>
      </c>
      <c r="AA266" s="10">
        <v>0</v>
      </c>
      <c r="AB266" s="10">
        <v>0</v>
      </c>
      <c r="AC266" s="10">
        <v>0</v>
      </c>
      <c r="AE266" s="10">
        <v>0</v>
      </c>
      <c r="AG266" s="14">
        <v>0</v>
      </c>
      <c r="AJ266" s="14">
        <v>0</v>
      </c>
      <c r="AK266" s="14">
        <v>0</v>
      </c>
      <c r="AL266" s="14">
        <v>0</v>
      </c>
      <c r="AM266" s="14">
        <v>0</v>
      </c>
      <c r="AO266" s="14">
        <v>0</v>
      </c>
      <c r="AP266" s="14"/>
      <c r="AQ266" s="14"/>
      <c r="AR266" s="14">
        <v>0</v>
      </c>
      <c r="AS266" s="14">
        <v>0</v>
      </c>
      <c r="AT266" s="14">
        <v>0</v>
      </c>
      <c r="AU266" s="14">
        <v>0</v>
      </c>
      <c r="AX266" s="38" t="s">
        <v>538</v>
      </c>
      <c r="AY266" s="15" t="s">
        <v>536</v>
      </c>
    </row>
    <row r="267" spans="1:51" x14ac:dyDescent="0.3">
      <c r="A267" s="42" t="s">
        <v>541</v>
      </c>
      <c r="B267" s="35" t="s">
        <v>180</v>
      </c>
      <c r="C267" s="8">
        <v>43.833333000000003</v>
      </c>
      <c r="D267" s="8">
        <v>4.3499999999999996</v>
      </c>
      <c r="E267" s="9">
        <v>116</v>
      </c>
      <c r="F267" t="s">
        <v>53</v>
      </c>
      <c r="G267" s="10" t="s">
        <v>54</v>
      </c>
      <c r="H267" s="11">
        <v>-30</v>
      </c>
      <c r="I267" s="11">
        <v>200</v>
      </c>
      <c r="J267" s="12" t="s">
        <v>413</v>
      </c>
      <c r="K267" s="36" t="s">
        <v>414</v>
      </c>
      <c r="L267" s="12" t="s">
        <v>415</v>
      </c>
      <c r="M267" s="37" t="s">
        <v>92</v>
      </c>
      <c r="O267" s="10" t="s">
        <v>60</v>
      </c>
      <c r="P267" s="10" t="s">
        <v>61</v>
      </c>
      <c r="S267" s="10">
        <v>4</v>
      </c>
      <c r="V267" s="10">
        <v>89</v>
      </c>
      <c r="W267" s="10">
        <v>2</v>
      </c>
      <c r="X267" s="10">
        <v>0</v>
      </c>
      <c r="AA267" s="10">
        <v>0</v>
      </c>
      <c r="AB267" s="10">
        <v>0</v>
      </c>
      <c r="AC267" s="10">
        <v>0</v>
      </c>
      <c r="AE267" s="10">
        <v>0</v>
      </c>
      <c r="AG267" s="14">
        <v>0</v>
      </c>
      <c r="AJ267" s="14">
        <v>0</v>
      </c>
      <c r="AK267" s="14">
        <v>0</v>
      </c>
      <c r="AL267" s="14">
        <v>0</v>
      </c>
      <c r="AM267" s="14">
        <v>0</v>
      </c>
      <c r="AO267" s="14">
        <v>0</v>
      </c>
      <c r="AP267" s="14"/>
      <c r="AQ267" s="14"/>
      <c r="AR267" s="14">
        <v>0</v>
      </c>
      <c r="AS267" s="14">
        <v>0</v>
      </c>
      <c r="AT267" s="14">
        <v>0</v>
      </c>
      <c r="AU267" s="14">
        <v>0</v>
      </c>
      <c r="AX267" s="38" t="s">
        <v>460</v>
      </c>
      <c r="AY267" s="38" t="s">
        <v>131</v>
      </c>
    </row>
    <row r="268" spans="1:51" x14ac:dyDescent="0.3">
      <c r="A268" s="42" t="s">
        <v>542</v>
      </c>
      <c r="B268" s="35" t="s">
        <v>180</v>
      </c>
      <c r="C268" s="8">
        <v>43.833333000000003</v>
      </c>
      <c r="D268" s="8">
        <v>4.3499999999999996</v>
      </c>
      <c r="E268" s="9">
        <v>116</v>
      </c>
      <c r="F268" t="s">
        <v>53</v>
      </c>
      <c r="G268" s="10" t="s">
        <v>54</v>
      </c>
      <c r="H268" s="11">
        <v>-30</v>
      </c>
      <c r="I268" s="11">
        <v>200</v>
      </c>
      <c r="J268" s="12" t="s">
        <v>413</v>
      </c>
      <c r="K268" s="36" t="s">
        <v>414</v>
      </c>
      <c r="L268" s="12" t="s">
        <v>415</v>
      </c>
      <c r="M268" s="37" t="s">
        <v>92</v>
      </c>
      <c r="O268" s="10" t="s">
        <v>60</v>
      </c>
      <c r="P268" s="10" t="s">
        <v>60</v>
      </c>
      <c r="S268" s="10">
        <v>1</v>
      </c>
      <c r="V268" s="10">
        <v>128</v>
      </c>
      <c r="W268" s="10">
        <v>16</v>
      </c>
      <c r="X268" s="10">
        <v>0</v>
      </c>
      <c r="AA268" s="10">
        <v>0</v>
      </c>
      <c r="AB268" s="10">
        <v>0</v>
      </c>
      <c r="AC268" s="10">
        <v>0</v>
      </c>
      <c r="AE268" s="10">
        <v>0</v>
      </c>
      <c r="AG268" s="14">
        <v>0</v>
      </c>
      <c r="AJ268" s="14">
        <v>0</v>
      </c>
      <c r="AK268" s="14">
        <v>0</v>
      </c>
      <c r="AL268" s="14">
        <v>0</v>
      </c>
      <c r="AM268" s="14">
        <v>0</v>
      </c>
      <c r="AO268" s="14">
        <v>0</v>
      </c>
      <c r="AP268" s="14"/>
      <c r="AQ268" s="14"/>
      <c r="AR268" s="14">
        <v>0</v>
      </c>
      <c r="AS268" s="14">
        <v>0</v>
      </c>
      <c r="AT268" s="14">
        <v>0</v>
      </c>
      <c r="AU268" s="14">
        <v>0</v>
      </c>
      <c r="AX268" s="38" t="s">
        <v>460</v>
      </c>
      <c r="AY268" s="38" t="s">
        <v>131</v>
      </c>
    </row>
    <row r="269" spans="1:51" x14ac:dyDescent="0.3">
      <c r="A269" s="42" t="s">
        <v>543</v>
      </c>
      <c r="B269" s="35" t="s">
        <v>180</v>
      </c>
      <c r="C269" s="8">
        <v>43.833333000000003</v>
      </c>
      <c r="D269" s="8">
        <v>4.3499999999999996</v>
      </c>
      <c r="E269" s="9">
        <v>116</v>
      </c>
      <c r="F269" t="s">
        <v>53</v>
      </c>
      <c r="G269" s="10" t="s">
        <v>54</v>
      </c>
      <c r="H269" s="11">
        <v>-30</v>
      </c>
      <c r="I269" s="11">
        <v>200</v>
      </c>
      <c r="J269" s="12" t="s">
        <v>413</v>
      </c>
      <c r="K269" s="36" t="s">
        <v>414</v>
      </c>
      <c r="L269" s="12" t="s">
        <v>415</v>
      </c>
      <c r="M269" s="37" t="s">
        <v>421</v>
      </c>
      <c r="O269" s="10" t="s">
        <v>60</v>
      </c>
      <c r="P269" s="10" t="s">
        <v>61</v>
      </c>
      <c r="S269" s="10">
        <v>28</v>
      </c>
      <c r="V269" s="10">
        <v>16</v>
      </c>
      <c r="W269" s="10">
        <v>19</v>
      </c>
      <c r="X269" s="10">
        <v>1</v>
      </c>
      <c r="AA269" s="10">
        <v>4</v>
      </c>
      <c r="AB269" s="10">
        <v>0</v>
      </c>
      <c r="AC269" s="10">
        <v>2</v>
      </c>
      <c r="AE269" s="10">
        <v>0</v>
      </c>
      <c r="AF269" s="10" t="s">
        <v>495</v>
      </c>
      <c r="AG269" s="14">
        <v>0</v>
      </c>
      <c r="AJ269" s="14">
        <v>0</v>
      </c>
      <c r="AK269" s="14">
        <v>0</v>
      </c>
      <c r="AL269" s="14">
        <v>0</v>
      </c>
      <c r="AM269" s="14">
        <v>0</v>
      </c>
      <c r="AO269" s="14">
        <v>0</v>
      </c>
      <c r="AP269" s="14"/>
      <c r="AQ269" s="14"/>
      <c r="AR269" s="14">
        <v>0</v>
      </c>
      <c r="AS269" s="14">
        <v>0</v>
      </c>
      <c r="AT269" s="14">
        <v>0</v>
      </c>
      <c r="AU269" s="14">
        <v>0</v>
      </c>
      <c r="AX269" s="38" t="s">
        <v>538</v>
      </c>
      <c r="AY269" s="38" t="s">
        <v>536</v>
      </c>
    </row>
    <row r="270" spans="1:51" x14ac:dyDescent="0.3">
      <c r="A270" s="42" t="s">
        <v>543</v>
      </c>
      <c r="B270" s="35" t="s">
        <v>180</v>
      </c>
      <c r="C270" s="8">
        <v>43.833333000000003</v>
      </c>
      <c r="D270" s="8">
        <v>4.3499999999999996</v>
      </c>
      <c r="E270" s="9">
        <v>116</v>
      </c>
      <c r="F270" t="s">
        <v>53</v>
      </c>
      <c r="G270" s="10" t="s">
        <v>54</v>
      </c>
      <c r="H270" s="11">
        <v>-125</v>
      </c>
      <c r="I270" s="11">
        <v>-30</v>
      </c>
      <c r="J270" s="12" t="s">
        <v>413</v>
      </c>
      <c r="K270" s="36" t="s">
        <v>414</v>
      </c>
      <c r="L270" s="12" t="s">
        <v>449</v>
      </c>
      <c r="M270" s="37" t="s">
        <v>421</v>
      </c>
      <c r="O270" s="10" t="s">
        <v>60</v>
      </c>
      <c r="P270" s="10" t="s">
        <v>61</v>
      </c>
      <c r="S270" s="10">
        <v>4</v>
      </c>
      <c r="V270" s="10">
        <v>0</v>
      </c>
      <c r="W270" s="10">
        <v>4</v>
      </c>
      <c r="X270" s="10">
        <v>0</v>
      </c>
      <c r="AA270" s="10">
        <v>0</v>
      </c>
      <c r="AB270" s="10">
        <v>0</v>
      </c>
      <c r="AC270" s="10">
        <v>0</v>
      </c>
      <c r="AE270" s="10">
        <v>0</v>
      </c>
      <c r="AG270" s="14">
        <v>0</v>
      </c>
      <c r="AJ270" s="14">
        <v>0</v>
      </c>
      <c r="AK270" s="14">
        <v>0</v>
      </c>
      <c r="AL270" s="14">
        <v>0</v>
      </c>
      <c r="AM270" s="14">
        <v>0</v>
      </c>
      <c r="AO270" s="14">
        <v>0</v>
      </c>
      <c r="AP270" s="14"/>
      <c r="AQ270" s="14"/>
      <c r="AR270" s="14">
        <v>0</v>
      </c>
      <c r="AS270" s="14">
        <v>0</v>
      </c>
      <c r="AT270" s="14">
        <v>0</v>
      </c>
      <c r="AU270" s="14">
        <v>0</v>
      </c>
      <c r="AX270" s="38" t="s">
        <v>538</v>
      </c>
      <c r="AY270" s="38" t="s">
        <v>536</v>
      </c>
    </row>
    <row r="271" spans="1:51" x14ac:dyDescent="0.3">
      <c r="A271" s="42" t="s">
        <v>544</v>
      </c>
      <c r="B271" s="42" t="s">
        <v>180</v>
      </c>
      <c r="C271" s="8">
        <v>43.833333000000003</v>
      </c>
      <c r="D271" s="8">
        <v>4.3499999999999996</v>
      </c>
      <c r="E271" s="9">
        <v>116</v>
      </c>
      <c r="F271" t="s">
        <v>53</v>
      </c>
      <c r="G271" s="10" t="s">
        <v>54</v>
      </c>
      <c r="H271" s="11">
        <v>-125</v>
      </c>
      <c r="I271" s="11">
        <v>-30</v>
      </c>
      <c r="J271" s="12" t="s">
        <v>413</v>
      </c>
      <c r="K271" s="36" t="s">
        <v>414</v>
      </c>
      <c r="L271" s="10" t="s">
        <v>449</v>
      </c>
      <c r="M271" s="40" t="s">
        <v>59</v>
      </c>
      <c r="O271" s="10" t="s">
        <v>60</v>
      </c>
      <c r="P271" s="10" t="s">
        <v>61</v>
      </c>
      <c r="S271" s="10">
        <v>5</v>
      </c>
      <c r="V271" s="10">
        <v>0</v>
      </c>
      <c r="W271" s="12">
        <v>2</v>
      </c>
      <c r="X271" s="10">
        <v>0</v>
      </c>
      <c r="AA271" s="10">
        <v>0</v>
      </c>
      <c r="AB271" s="10">
        <v>0</v>
      </c>
      <c r="AC271" s="10">
        <v>0</v>
      </c>
      <c r="AE271" s="10">
        <v>0</v>
      </c>
      <c r="AG271" s="14">
        <v>0</v>
      </c>
      <c r="AJ271" s="14">
        <v>0</v>
      </c>
      <c r="AK271" s="14">
        <v>0</v>
      </c>
      <c r="AL271" s="14">
        <v>0</v>
      </c>
      <c r="AM271" s="14">
        <v>0</v>
      </c>
      <c r="AO271" s="14">
        <v>0</v>
      </c>
      <c r="AP271" s="14"/>
      <c r="AQ271" s="14"/>
      <c r="AR271" s="14">
        <v>0</v>
      </c>
      <c r="AS271" s="14">
        <v>0</v>
      </c>
      <c r="AT271" s="14">
        <v>0</v>
      </c>
      <c r="AU271" s="14">
        <v>0</v>
      </c>
      <c r="AX271" s="16" t="s">
        <v>535</v>
      </c>
      <c r="AY271" s="16" t="s">
        <v>536</v>
      </c>
    </row>
    <row r="272" spans="1:51" x14ac:dyDescent="0.3">
      <c r="A272" s="34" t="s">
        <v>545</v>
      </c>
      <c r="B272" s="35" t="s">
        <v>180</v>
      </c>
      <c r="C272" s="8">
        <v>43.833333000000003</v>
      </c>
      <c r="D272" s="8">
        <v>4.3499999999999996</v>
      </c>
      <c r="E272" s="9">
        <v>116</v>
      </c>
      <c r="F272" t="s">
        <v>53</v>
      </c>
      <c r="G272" s="10" t="s">
        <v>54</v>
      </c>
      <c r="H272" s="11">
        <v>-30</v>
      </c>
      <c r="I272" s="11">
        <v>200</v>
      </c>
      <c r="J272" s="12" t="s">
        <v>413</v>
      </c>
      <c r="K272" s="36" t="s">
        <v>414</v>
      </c>
      <c r="L272" s="12" t="s">
        <v>415</v>
      </c>
      <c r="M272" s="37" t="s">
        <v>59</v>
      </c>
      <c r="O272" s="10" t="s">
        <v>60</v>
      </c>
      <c r="P272" s="10" t="s">
        <v>61</v>
      </c>
      <c r="S272" s="10">
        <v>0</v>
      </c>
      <c r="V272" s="10">
        <v>0</v>
      </c>
      <c r="W272" s="12">
        <v>3</v>
      </c>
      <c r="X272" s="10">
        <v>0</v>
      </c>
      <c r="AA272" s="10">
        <v>0</v>
      </c>
      <c r="AB272" s="10">
        <v>0</v>
      </c>
      <c r="AC272" s="10">
        <v>0</v>
      </c>
      <c r="AE272" s="10">
        <v>0</v>
      </c>
      <c r="AG272" s="14">
        <v>0</v>
      </c>
      <c r="AJ272" s="14">
        <v>0</v>
      </c>
      <c r="AK272" s="14">
        <v>0</v>
      </c>
      <c r="AL272" s="14">
        <v>0</v>
      </c>
      <c r="AM272" s="14">
        <v>0</v>
      </c>
      <c r="AO272" s="14">
        <v>0</v>
      </c>
      <c r="AP272" s="14"/>
      <c r="AQ272" s="14"/>
      <c r="AR272" s="14">
        <v>0</v>
      </c>
      <c r="AS272" s="14">
        <v>0</v>
      </c>
      <c r="AT272" s="14">
        <v>0</v>
      </c>
      <c r="AU272" s="14">
        <v>0</v>
      </c>
      <c r="AX272" s="16" t="s">
        <v>535</v>
      </c>
      <c r="AY272" s="15" t="s">
        <v>536</v>
      </c>
    </row>
    <row r="273" spans="1:51" x14ac:dyDescent="0.3">
      <c r="A273" s="34" t="s">
        <v>179</v>
      </c>
      <c r="B273" s="35" t="s">
        <v>180</v>
      </c>
      <c r="C273" s="8">
        <v>43.833333000000003</v>
      </c>
      <c r="D273" s="8">
        <v>4.3499999999999996</v>
      </c>
      <c r="E273" s="9">
        <v>116</v>
      </c>
      <c r="F273" t="s">
        <v>53</v>
      </c>
      <c r="G273" s="10" t="s">
        <v>54</v>
      </c>
      <c r="H273" s="11">
        <v>-30</v>
      </c>
      <c r="I273" s="11">
        <v>200</v>
      </c>
      <c r="J273" s="12" t="s">
        <v>413</v>
      </c>
      <c r="K273" s="36" t="s">
        <v>414</v>
      </c>
      <c r="L273" s="12" t="s">
        <v>415</v>
      </c>
      <c r="M273" s="37" t="s">
        <v>59</v>
      </c>
      <c r="O273" s="10" t="s">
        <v>60</v>
      </c>
      <c r="P273" s="10" t="s">
        <v>61</v>
      </c>
      <c r="S273" s="10">
        <v>0</v>
      </c>
      <c r="V273" s="10">
        <v>0</v>
      </c>
      <c r="W273" s="12">
        <v>1</v>
      </c>
      <c r="X273" s="10">
        <v>0</v>
      </c>
      <c r="AA273" s="10">
        <v>0</v>
      </c>
      <c r="AB273" s="10">
        <v>0</v>
      </c>
      <c r="AC273" s="10">
        <v>0</v>
      </c>
      <c r="AE273" s="10">
        <v>0</v>
      </c>
      <c r="AG273" s="14">
        <v>0</v>
      </c>
      <c r="AJ273" s="14">
        <v>0</v>
      </c>
      <c r="AK273" s="14">
        <v>0</v>
      </c>
      <c r="AL273" s="14">
        <v>0</v>
      </c>
      <c r="AM273" s="14">
        <v>0</v>
      </c>
      <c r="AO273" s="14">
        <v>0</v>
      </c>
      <c r="AP273" s="14"/>
      <c r="AQ273" s="14"/>
      <c r="AR273" s="14">
        <v>0</v>
      </c>
      <c r="AS273" s="14">
        <v>0</v>
      </c>
      <c r="AT273" s="14">
        <v>0</v>
      </c>
      <c r="AU273" s="14">
        <v>0</v>
      </c>
      <c r="AX273" s="38" t="s">
        <v>546</v>
      </c>
      <c r="AY273" s="38" t="s">
        <v>131</v>
      </c>
    </row>
    <row r="274" spans="1:51" x14ac:dyDescent="0.3">
      <c r="A274" s="34" t="s">
        <v>547</v>
      </c>
      <c r="B274" s="34" t="s">
        <v>548</v>
      </c>
      <c r="C274" s="8">
        <v>43.28</v>
      </c>
      <c r="D274" s="8">
        <v>3.13</v>
      </c>
      <c r="E274" s="9">
        <v>122</v>
      </c>
      <c r="F274" t="s">
        <v>53</v>
      </c>
      <c r="G274" s="10" t="s">
        <v>54</v>
      </c>
      <c r="H274" s="11">
        <v>-125</v>
      </c>
      <c r="I274" s="11">
        <v>-30</v>
      </c>
      <c r="J274" s="12" t="s">
        <v>413</v>
      </c>
      <c r="K274" s="36" t="s">
        <v>414</v>
      </c>
      <c r="L274" s="10" t="s">
        <v>449</v>
      </c>
      <c r="M274" s="37" t="s">
        <v>421</v>
      </c>
      <c r="O274" s="10" t="s">
        <v>60</v>
      </c>
      <c r="P274" s="10" t="s">
        <v>84</v>
      </c>
      <c r="S274" s="10">
        <v>94</v>
      </c>
      <c r="V274" s="10">
        <v>1</v>
      </c>
      <c r="W274" s="12">
        <v>9</v>
      </c>
      <c r="X274" s="10">
        <v>0</v>
      </c>
      <c r="AA274" s="10">
        <v>0</v>
      </c>
      <c r="AB274" s="10">
        <v>0</v>
      </c>
      <c r="AC274" s="10">
        <v>0</v>
      </c>
      <c r="AE274" s="10">
        <v>0</v>
      </c>
      <c r="AG274" s="14">
        <v>0</v>
      </c>
      <c r="AJ274" s="14">
        <v>0</v>
      </c>
      <c r="AK274" s="14">
        <v>0</v>
      </c>
      <c r="AL274" s="14">
        <v>0</v>
      </c>
      <c r="AM274" s="14">
        <v>0</v>
      </c>
      <c r="AO274" s="14">
        <v>0</v>
      </c>
      <c r="AP274" s="14"/>
      <c r="AQ274" s="14"/>
      <c r="AR274" s="14">
        <v>0</v>
      </c>
      <c r="AS274" s="14">
        <v>0</v>
      </c>
      <c r="AT274" s="14">
        <v>0</v>
      </c>
      <c r="AU274" s="14">
        <v>0</v>
      </c>
      <c r="AX274" s="16" t="s">
        <v>457</v>
      </c>
      <c r="AY274" s="16" t="s">
        <v>85</v>
      </c>
    </row>
    <row r="275" spans="1:51" ht="28.8" x14ac:dyDescent="0.3">
      <c r="A275" s="16" t="s">
        <v>549</v>
      </c>
      <c r="B275" s="38" t="s">
        <v>550</v>
      </c>
      <c r="C275" s="25">
        <v>44.133333</v>
      </c>
      <c r="D275" s="25">
        <v>4.8</v>
      </c>
      <c r="E275" s="26">
        <v>105</v>
      </c>
      <c r="F275" s="15" t="s">
        <v>53</v>
      </c>
      <c r="G275" s="14" t="s">
        <v>54</v>
      </c>
      <c r="H275" s="28">
        <v>-30</v>
      </c>
      <c r="I275" s="28">
        <v>200</v>
      </c>
      <c r="J275" s="18" t="s">
        <v>413</v>
      </c>
      <c r="K275" s="41" t="s">
        <v>414</v>
      </c>
      <c r="L275" s="18" t="s">
        <v>415</v>
      </c>
      <c r="M275" s="18" t="s">
        <v>92</v>
      </c>
      <c r="N275" s="14"/>
      <c r="O275" s="14" t="s">
        <v>60</v>
      </c>
      <c r="P275" s="14" t="s">
        <v>61</v>
      </c>
      <c r="Q275" s="15"/>
      <c r="R275" s="15"/>
      <c r="S275" s="14">
        <v>14</v>
      </c>
      <c r="T275" s="15"/>
      <c r="U275" s="15"/>
      <c r="V275" s="14">
        <v>218</v>
      </c>
      <c r="W275" s="18">
        <v>45</v>
      </c>
      <c r="X275" s="14">
        <v>0</v>
      </c>
      <c r="Y275" s="14"/>
      <c r="Z275" s="14"/>
      <c r="AA275" s="14">
        <v>0</v>
      </c>
      <c r="AB275" s="14">
        <v>0</v>
      </c>
      <c r="AC275" s="14">
        <v>0</v>
      </c>
      <c r="AD275" s="14"/>
      <c r="AE275" s="14">
        <v>0</v>
      </c>
      <c r="AF275" s="14"/>
      <c r="AG275" s="14">
        <v>1</v>
      </c>
      <c r="AH275" s="14"/>
      <c r="AI275" s="14"/>
      <c r="AJ275" s="14">
        <v>4</v>
      </c>
      <c r="AK275" s="14">
        <v>0</v>
      </c>
      <c r="AL275" s="14">
        <v>3</v>
      </c>
      <c r="AM275" s="14">
        <v>0</v>
      </c>
      <c r="AN275" s="14" t="s">
        <v>62</v>
      </c>
      <c r="AO275" s="14">
        <v>0</v>
      </c>
      <c r="AP275" s="14"/>
      <c r="AQ275" s="14"/>
      <c r="AR275" s="14">
        <v>0</v>
      </c>
      <c r="AS275" s="14">
        <v>0</v>
      </c>
      <c r="AT275" s="14">
        <v>0</v>
      </c>
      <c r="AU275" s="14">
        <v>0</v>
      </c>
      <c r="AV275" s="14"/>
      <c r="AW275" s="15"/>
      <c r="AX275" s="38" t="s">
        <v>551</v>
      </c>
      <c r="AY275" s="38" t="s">
        <v>552</v>
      </c>
    </row>
    <row r="276" spans="1:51" x14ac:dyDescent="0.3">
      <c r="A276" s="43" t="s">
        <v>553</v>
      </c>
      <c r="B276" s="35" t="s">
        <v>554</v>
      </c>
      <c r="C276" s="8">
        <v>43.16</v>
      </c>
      <c r="D276" s="8">
        <v>2.02</v>
      </c>
      <c r="E276" s="9">
        <v>145</v>
      </c>
      <c r="F276" t="s">
        <v>53</v>
      </c>
      <c r="G276" s="10" t="s">
        <v>54</v>
      </c>
      <c r="H276" s="11">
        <v>-30</v>
      </c>
      <c r="I276" s="11">
        <v>200</v>
      </c>
      <c r="J276" s="12" t="s">
        <v>413</v>
      </c>
      <c r="K276" s="36" t="s">
        <v>414</v>
      </c>
      <c r="L276" s="10" t="s">
        <v>415</v>
      </c>
      <c r="M276" s="37" t="s">
        <v>92</v>
      </c>
      <c r="O276" s="10" t="s">
        <v>60</v>
      </c>
      <c r="P276" s="10" t="s">
        <v>84</v>
      </c>
      <c r="S276" s="10">
        <v>0</v>
      </c>
      <c r="V276" s="10">
        <v>0</v>
      </c>
      <c r="W276" s="9">
        <v>2</v>
      </c>
      <c r="X276" s="10">
        <v>0</v>
      </c>
      <c r="AA276" s="10">
        <v>0</v>
      </c>
      <c r="AB276" s="10">
        <v>0</v>
      </c>
      <c r="AC276" s="10">
        <v>0</v>
      </c>
      <c r="AE276" s="14">
        <v>0</v>
      </c>
      <c r="AG276" s="14">
        <v>0</v>
      </c>
      <c r="AJ276" s="14">
        <v>0</v>
      </c>
      <c r="AK276" s="14">
        <v>0</v>
      </c>
      <c r="AL276" s="14">
        <v>0</v>
      </c>
      <c r="AM276" s="14">
        <v>0</v>
      </c>
      <c r="AO276" s="14">
        <v>0</v>
      </c>
      <c r="AP276" s="14"/>
      <c r="AQ276" s="14"/>
      <c r="AR276" s="14">
        <v>0</v>
      </c>
      <c r="AS276" s="14">
        <v>0</v>
      </c>
      <c r="AT276" s="14">
        <v>0</v>
      </c>
      <c r="AU276" s="14">
        <v>0</v>
      </c>
      <c r="AX276" s="16" t="s">
        <v>418</v>
      </c>
      <c r="AY276" s="16" t="s">
        <v>78</v>
      </c>
    </row>
    <row r="277" spans="1:51" x14ac:dyDescent="0.3">
      <c r="A277" s="34" t="s">
        <v>555</v>
      </c>
      <c r="B277" s="34" t="s">
        <v>114</v>
      </c>
      <c r="C277" s="8">
        <v>42.683332999999998</v>
      </c>
      <c r="D277" s="8">
        <v>2.8833329999999999</v>
      </c>
      <c r="E277" s="9">
        <v>30</v>
      </c>
      <c r="F277" t="s">
        <v>53</v>
      </c>
      <c r="G277" s="10" t="s">
        <v>54</v>
      </c>
      <c r="H277" s="11">
        <v>-30</v>
      </c>
      <c r="I277" s="11">
        <v>200</v>
      </c>
      <c r="J277" s="12" t="s">
        <v>413</v>
      </c>
      <c r="K277" s="36" t="s">
        <v>414</v>
      </c>
      <c r="L277" s="10" t="s">
        <v>415</v>
      </c>
      <c r="M277" s="37" t="s">
        <v>59</v>
      </c>
      <c r="O277" s="10" t="s">
        <v>60</v>
      </c>
      <c r="P277" s="10" t="s">
        <v>61</v>
      </c>
      <c r="S277" s="10">
        <v>2</v>
      </c>
      <c r="V277" s="10">
        <v>1</v>
      </c>
      <c r="W277" s="12">
        <v>3</v>
      </c>
      <c r="X277" s="10">
        <v>0</v>
      </c>
      <c r="AA277" s="10">
        <v>0</v>
      </c>
      <c r="AB277" s="10">
        <v>0</v>
      </c>
      <c r="AC277" s="10">
        <v>0</v>
      </c>
      <c r="AE277" s="10">
        <v>0</v>
      </c>
      <c r="AG277" s="14">
        <v>0</v>
      </c>
      <c r="AJ277" s="14">
        <v>0</v>
      </c>
      <c r="AK277" s="14">
        <v>0</v>
      </c>
      <c r="AL277" s="14">
        <v>0</v>
      </c>
      <c r="AM277" s="14">
        <v>0</v>
      </c>
      <c r="AO277" s="14">
        <v>0</v>
      </c>
      <c r="AP277" s="14"/>
      <c r="AQ277" s="14"/>
      <c r="AR277" s="14">
        <v>0</v>
      </c>
      <c r="AS277" s="14">
        <v>0</v>
      </c>
      <c r="AT277" s="14">
        <v>0</v>
      </c>
      <c r="AU277" s="14">
        <v>0</v>
      </c>
      <c r="AX277" s="16" t="s">
        <v>455</v>
      </c>
      <c r="AY277" s="16" t="s">
        <v>85</v>
      </c>
    </row>
    <row r="278" spans="1:51" x14ac:dyDescent="0.3">
      <c r="A278" s="34" t="s">
        <v>555</v>
      </c>
      <c r="B278" s="34" t="s">
        <v>114</v>
      </c>
      <c r="C278" s="8">
        <v>42.683332999999998</v>
      </c>
      <c r="D278" s="8">
        <v>2.8833329999999999</v>
      </c>
      <c r="E278" s="9">
        <v>30</v>
      </c>
      <c r="F278" t="s">
        <v>53</v>
      </c>
      <c r="G278" s="10" t="s">
        <v>54</v>
      </c>
      <c r="H278" s="11">
        <v>-125</v>
      </c>
      <c r="I278" s="11">
        <v>-30</v>
      </c>
      <c r="J278" s="12" t="s">
        <v>413</v>
      </c>
      <c r="K278" s="36" t="s">
        <v>414</v>
      </c>
      <c r="L278" s="10" t="s">
        <v>449</v>
      </c>
      <c r="M278" s="37" t="s">
        <v>59</v>
      </c>
      <c r="O278" s="10" t="s">
        <v>60</v>
      </c>
      <c r="P278" s="10" t="s">
        <v>61</v>
      </c>
      <c r="S278" s="10">
        <v>7</v>
      </c>
      <c r="V278" s="10">
        <v>0</v>
      </c>
      <c r="W278" s="12">
        <v>5</v>
      </c>
      <c r="X278" s="10">
        <v>0</v>
      </c>
      <c r="AA278" s="10">
        <v>0</v>
      </c>
      <c r="AB278" s="10">
        <v>0</v>
      </c>
      <c r="AC278" s="10">
        <v>0</v>
      </c>
      <c r="AE278" s="10">
        <v>0</v>
      </c>
      <c r="AG278" s="14">
        <v>0</v>
      </c>
      <c r="AJ278" s="14">
        <v>0</v>
      </c>
      <c r="AK278" s="14">
        <v>0</v>
      </c>
      <c r="AL278" s="14">
        <v>0</v>
      </c>
      <c r="AM278" s="14">
        <v>0</v>
      </c>
      <c r="AO278" s="14">
        <v>0</v>
      </c>
      <c r="AP278" s="14"/>
      <c r="AQ278" s="14"/>
      <c r="AR278" s="14">
        <v>0</v>
      </c>
      <c r="AS278" s="14">
        <v>0</v>
      </c>
      <c r="AT278" s="14">
        <v>0</v>
      </c>
      <c r="AU278" s="14">
        <v>0</v>
      </c>
      <c r="AX278" s="16" t="s">
        <v>455</v>
      </c>
      <c r="AY278" s="16" t="s">
        <v>85</v>
      </c>
    </row>
    <row r="279" spans="1:51" ht="28.8" x14ac:dyDescent="0.3">
      <c r="A279" s="16" t="s">
        <v>556</v>
      </c>
      <c r="B279" s="38" t="s">
        <v>114</v>
      </c>
      <c r="C279" s="25">
        <v>42.683332999999998</v>
      </c>
      <c r="D279" s="25">
        <v>2.8833329999999999</v>
      </c>
      <c r="E279" s="9">
        <v>30</v>
      </c>
      <c r="F279" s="15" t="s">
        <v>53</v>
      </c>
      <c r="G279" s="14" t="s">
        <v>54</v>
      </c>
      <c r="H279" s="28">
        <v>-125</v>
      </c>
      <c r="I279" s="28">
        <v>-30</v>
      </c>
      <c r="J279" s="18" t="s">
        <v>413</v>
      </c>
      <c r="K279" s="41" t="s">
        <v>414</v>
      </c>
      <c r="L279" s="18" t="s">
        <v>449</v>
      </c>
      <c r="M279" s="18" t="s">
        <v>59</v>
      </c>
      <c r="N279" s="14"/>
      <c r="O279" s="14" t="s">
        <v>60</v>
      </c>
      <c r="P279" s="14" t="s">
        <v>61</v>
      </c>
      <c r="Q279" s="15"/>
      <c r="R279" s="15"/>
      <c r="S279" s="14">
        <v>1</v>
      </c>
      <c r="T279" s="15"/>
      <c r="U279" s="15"/>
      <c r="V279" s="10">
        <v>0</v>
      </c>
      <c r="W279" s="18">
        <v>1</v>
      </c>
      <c r="X279" s="14">
        <v>0</v>
      </c>
      <c r="Y279" s="14"/>
      <c r="Z279" s="14"/>
      <c r="AA279" s="14">
        <v>0</v>
      </c>
      <c r="AB279" s="14">
        <v>0</v>
      </c>
      <c r="AC279" s="14">
        <v>0</v>
      </c>
      <c r="AD279" s="14"/>
      <c r="AE279" s="14">
        <v>0</v>
      </c>
      <c r="AF279" s="14"/>
      <c r="AG279" s="14">
        <v>0</v>
      </c>
      <c r="AH279" s="14"/>
      <c r="AI279" s="14"/>
      <c r="AJ279" s="14">
        <v>0</v>
      </c>
      <c r="AK279" s="14">
        <v>0</v>
      </c>
      <c r="AL279" s="14">
        <v>0</v>
      </c>
      <c r="AM279" s="14">
        <v>0</v>
      </c>
      <c r="AO279" s="14">
        <v>0</v>
      </c>
      <c r="AP279" s="14"/>
      <c r="AQ279" s="14"/>
      <c r="AR279" s="14">
        <v>0</v>
      </c>
      <c r="AS279" s="14">
        <v>0</v>
      </c>
      <c r="AT279" s="14">
        <v>0</v>
      </c>
      <c r="AU279" s="14">
        <v>0</v>
      </c>
      <c r="AW279" s="15"/>
      <c r="AX279" s="38" t="s">
        <v>557</v>
      </c>
      <c r="AY279" s="38" t="s">
        <v>85</v>
      </c>
    </row>
    <row r="280" spans="1:51" ht="28.8" x14ac:dyDescent="0.3">
      <c r="A280" s="16" t="s">
        <v>558</v>
      </c>
      <c r="B280" s="38" t="s">
        <v>114</v>
      </c>
      <c r="C280" s="25">
        <v>42.683332999999998</v>
      </c>
      <c r="D280" s="25">
        <v>2.8833329999999999</v>
      </c>
      <c r="E280" s="9">
        <v>30</v>
      </c>
      <c r="F280" s="15" t="s">
        <v>53</v>
      </c>
      <c r="G280" s="14" t="s">
        <v>54</v>
      </c>
      <c r="H280" s="28">
        <v>-30</v>
      </c>
      <c r="I280" s="28">
        <v>200</v>
      </c>
      <c r="J280" s="18" t="s">
        <v>413</v>
      </c>
      <c r="K280" s="41" t="s">
        <v>414</v>
      </c>
      <c r="L280" s="18" t="s">
        <v>415</v>
      </c>
      <c r="M280" s="18" t="s">
        <v>59</v>
      </c>
      <c r="N280" s="14"/>
      <c r="O280" s="14" t="s">
        <v>60</v>
      </c>
      <c r="P280" s="14" t="s">
        <v>61</v>
      </c>
      <c r="Q280" s="15"/>
      <c r="R280" s="15"/>
      <c r="S280" s="14">
        <v>0</v>
      </c>
      <c r="T280" s="15"/>
      <c r="U280" s="15"/>
      <c r="V280" s="10">
        <v>0</v>
      </c>
      <c r="W280" s="18">
        <v>2</v>
      </c>
      <c r="X280" s="14">
        <v>0</v>
      </c>
      <c r="Y280" s="14"/>
      <c r="Z280" s="14"/>
      <c r="AA280" s="14">
        <v>0</v>
      </c>
      <c r="AB280" s="14">
        <v>0</v>
      </c>
      <c r="AC280" s="14">
        <v>0</v>
      </c>
      <c r="AD280" s="14"/>
      <c r="AE280" s="14">
        <v>0</v>
      </c>
      <c r="AF280" s="14"/>
      <c r="AG280" s="14">
        <v>0</v>
      </c>
      <c r="AH280" s="14"/>
      <c r="AI280" s="14"/>
      <c r="AJ280" s="14">
        <v>0</v>
      </c>
      <c r="AK280" s="14">
        <v>0</v>
      </c>
      <c r="AL280" s="14">
        <v>0</v>
      </c>
      <c r="AM280" s="14">
        <v>0</v>
      </c>
      <c r="AO280" s="14">
        <v>0</v>
      </c>
      <c r="AP280" s="14"/>
      <c r="AQ280" s="14"/>
      <c r="AR280" s="14">
        <v>0</v>
      </c>
      <c r="AS280" s="14">
        <v>0</v>
      </c>
      <c r="AT280" s="14">
        <v>0</v>
      </c>
      <c r="AU280" s="14">
        <v>0</v>
      </c>
      <c r="AW280" s="15"/>
      <c r="AX280" s="38" t="s">
        <v>559</v>
      </c>
      <c r="AY280" s="38" t="s">
        <v>85</v>
      </c>
    </row>
    <row r="281" spans="1:51" ht="28.8" x14ac:dyDescent="0.3">
      <c r="A281" s="16" t="s">
        <v>558</v>
      </c>
      <c r="B281" s="38" t="s">
        <v>114</v>
      </c>
      <c r="C281" s="25">
        <v>42.683332999999998</v>
      </c>
      <c r="D281" s="25">
        <v>2.8833329999999999</v>
      </c>
      <c r="E281" s="9">
        <v>30</v>
      </c>
      <c r="F281" s="15" t="s">
        <v>53</v>
      </c>
      <c r="G281" s="14" t="s">
        <v>54</v>
      </c>
      <c r="H281" s="28">
        <v>-125</v>
      </c>
      <c r="I281" s="28">
        <v>-30</v>
      </c>
      <c r="J281" s="18" t="s">
        <v>413</v>
      </c>
      <c r="K281" s="41" t="s">
        <v>414</v>
      </c>
      <c r="L281" s="18" t="s">
        <v>449</v>
      </c>
      <c r="M281" s="18" t="s">
        <v>59</v>
      </c>
      <c r="N281" s="14"/>
      <c r="O281" s="14" t="s">
        <v>60</v>
      </c>
      <c r="P281" s="14" t="s">
        <v>61</v>
      </c>
      <c r="Q281" s="15"/>
      <c r="R281" s="15"/>
      <c r="S281" s="14">
        <v>494</v>
      </c>
      <c r="T281" s="15"/>
      <c r="U281" s="15"/>
      <c r="V281" s="10">
        <v>0</v>
      </c>
      <c r="W281" s="18">
        <v>1</v>
      </c>
      <c r="X281" s="14">
        <v>0</v>
      </c>
      <c r="Y281" s="14"/>
      <c r="Z281" s="14"/>
      <c r="AA281" s="14">
        <v>0</v>
      </c>
      <c r="AB281" s="14">
        <v>0</v>
      </c>
      <c r="AC281" s="14">
        <v>0</v>
      </c>
      <c r="AD281" s="14"/>
      <c r="AE281" s="14">
        <v>0</v>
      </c>
      <c r="AF281" s="14"/>
      <c r="AG281" s="14">
        <v>0</v>
      </c>
      <c r="AH281" s="14"/>
      <c r="AI281" s="14"/>
      <c r="AJ281" s="14">
        <v>0</v>
      </c>
      <c r="AK281" s="14">
        <v>0</v>
      </c>
      <c r="AL281" s="14">
        <v>0</v>
      </c>
      <c r="AM281" s="14">
        <v>0</v>
      </c>
      <c r="AO281" s="14">
        <v>0</v>
      </c>
      <c r="AP281" s="14"/>
      <c r="AQ281" s="14"/>
      <c r="AR281" s="14">
        <v>0</v>
      </c>
      <c r="AS281" s="14">
        <v>0</v>
      </c>
      <c r="AT281" s="14">
        <v>0</v>
      </c>
      <c r="AU281" s="14">
        <v>0</v>
      </c>
      <c r="AW281" s="15"/>
      <c r="AX281" s="38" t="s">
        <v>559</v>
      </c>
      <c r="AY281" s="38" t="s">
        <v>85</v>
      </c>
    </row>
    <row r="282" spans="1:51" ht="28.8" x14ac:dyDescent="0.3">
      <c r="A282" s="16" t="s">
        <v>560</v>
      </c>
      <c r="B282" s="38" t="s">
        <v>114</v>
      </c>
      <c r="C282" s="25">
        <v>42.683332999999998</v>
      </c>
      <c r="D282" s="25">
        <v>2.8833329999999999</v>
      </c>
      <c r="E282" s="9">
        <v>30</v>
      </c>
      <c r="F282" s="15" t="s">
        <v>53</v>
      </c>
      <c r="G282" s="14" t="s">
        <v>54</v>
      </c>
      <c r="H282" s="28">
        <v>-30</v>
      </c>
      <c r="I282" s="28">
        <v>200</v>
      </c>
      <c r="J282" s="18" t="s">
        <v>413</v>
      </c>
      <c r="K282" s="41" t="s">
        <v>414</v>
      </c>
      <c r="L282" s="18" t="s">
        <v>415</v>
      </c>
      <c r="M282" s="18" t="s">
        <v>59</v>
      </c>
      <c r="N282" s="14"/>
      <c r="O282" s="14" t="s">
        <v>60</v>
      </c>
      <c r="P282" s="14" t="s">
        <v>60</v>
      </c>
      <c r="Q282" s="15"/>
      <c r="R282" s="15"/>
      <c r="S282" s="14">
        <v>51</v>
      </c>
      <c r="T282" s="15"/>
      <c r="U282" s="15"/>
      <c r="V282" s="10">
        <v>0</v>
      </c>
      <c r="W282" s="18">
        <v>2</v>
      </c>
      <c r="X282" s="14">
        <v>0</v>
      </c>
      <c r="Y282" s="14"/>
      <c r="Z282" s="14"/>
      <c r="AA282" s="14">
        <v>0</v>
      </c>
      <c r="AB282" s="14">
        <v>0</v>
      </c>
      <c r="AC282" s="14">
        <v>0</v>
      </c>
      <c r="AD282" s="14"/>
      <c r="AE282" s="14">
        <v>0</v>
      </c>
      <c r="AF282" s="14"/>
      <c r="AG282" s="14">
        <v>0</v>
      </c>
      <c r="AH282" s="14"/>
      <c r="AI282" s="14"/>
      <c r="AJ282" s="14">
        <v>0</v>
      </c>
      <c r="AK282" s="14">
        <v>0</v>
      </c>
      <c r="AL282" s="14">
        <v>0</v>
      </c>
      <c r="AM282" s="14">
        <v>0</v>
      </c>
      <c r="AO282" s="14">
        <v>0</v>
      </c>
      <c r="AP282" s="14"/>
      <c r="AQ282" s="14"/>
      <c r="AR282" s="14">
        <v>0</v>
      </c>
      <c r="AS282" s="14">
        <v>0</v>
      </c>
      <c r="AT282" s="14">
        <v>0</v>
      </c>
      <c r="AU282" s="14">
        <v>0</v>
      </c>
      <c r="AW282" s="15"/>
      <c r="AX282" s="38" t="s">
        <v>559</v>
      </c>
      <c r="AY282" s="38" t="s">
        <v>85</v>
      </c>
    </row>
    <row r="283" spans="1:51" ht="28.8" x14ac:dyDescent="0.3">
      <c r="A283" s="16" t="s">
        <v>561</v>
      </c>
      <c r="B283" s="38" t="s">
        <v>114</v>
      </c>
      <c r="C283" s="25">
        <v>42.683332999999998</v>
      </c>
      <c r="D283" s="25">
        <v>2.8833329999999999</v>
      </c>
      <c r="E283" s="9">
        <v>30</v>
      </c>
      <c r="F283" s="15" t="s">
        <v>53</v>
      </c>
      <c r="G283" s="14" t="s">
        <v>54</v>
      </c>
      <c r="H283" s="28">
        <v>-30</v>
      </c>
      <c r="I283" s="28">
        <v>200</v>
      </c>
      <c r="J283" s="18" t="s">
        <v>413</v>
      </c>
      <c r="K283" s="41" t="s">
        <v>414</v>
      </c>
      <c r="L283" s="18" t="s">
        <v>415</v>
      </c>
      <c r="M283" s="18" t="s">
        <v>59</v>
      </c>
      <c r="N283" s="14" t="s">
        <v>241</v>
      </c>
      <c r="O283" s="14" t="s">
        <v>60</v>
      </c>
      <c r="P283" s="14" t="s">
        <v>61</v>
      </c>
      <c r="Q283" s="15"/>
      <c r="R283" s="15"/>
      <c r="S283" s="14">
        <v>3785</v>
      </c>
      <c r="T283" s="15"/>
      <c r="U283" s="15"/>
      <c r="V283" s="14">
        <v>4</v>
      </c>
      <c r="W283" s="18">
        <v>10</v>
      </c>
      <c r="X283" s="14">
        <v>0</v>
      </c>
      <c r="Y283" s="14"/>
      <c r="Z283" s="14"/>
      <c r="AA283" s="14">
        <v>0</v>
      </c>
      <c r="AB283" s="14">
        <v>0</v>
      </c>
      <c r="AC283" s="14">
        <v>0</v>
      </c>
      <c r="AD283" s="14"/>
      <c r="AE283" s="14">
        <v>0</v>
      </c>
      <c r="AF283" s="14"/>
      <c r="AG283" s="14">
        <v>1</v>
      </c>
      <c r="AH283" s="14"/>
      <c r="AI283" s="14"/>
      <c r="AJ283" s="14">
        <v>1</v>
      </c>
      <c r="AK283" s="14">
        <v>0</v>
      </c>
      <c r="AL283" s="14">
        <v>1</v>
      </c>
      <c r="AM283" s="14">
        <v>0</v>
      </c>
      <c r="AN283" s="14" t="s">
        <v>500</v>
      </c>
      <c r="AO283" s="14">
        <v>0</v>
      </c>
      <c r="AP283" s="14"/>
      <c r="AQ283" s="14"/>
      <c r="AR283" s="14">
        <v>0</v>
      </c>
      <c r="AS283" s="14">
        <v>0</v>
      </c>
      <c r="AT283" s="14">
        <v>0</v>
      </c>
      <c r="AU283" s="14">
        <v>0</v>
      </c>
      <c r="AW283" s="15"/>
      <c r="AX283" s="38" t="s">
        <v>559</v>
      </c>
      <c r="AY283" s="38" t="s">
        <v>85</v>
      </c>
    </row>
    <row r="284" spans="1:51" x14ac:dyDescent="0.3">
      <c r="A284" s="34" t="s">
        <v>562</v>
      </c>
      <c r="B284" s="35" t="s">
        <v>563</v>
      </c>
      <c r="C284" s="8">
        <v>43.483333000000002</v>
      </c>
      <c r="D284" s="8">
        <v>3.6666669999999999</v>
      </c>
      <c r="E284" s="9">
        <v>23</v>
      </c>
      <c r="F284" t="s">
        <v>53</v>
      </c>
      <c r="G284" s="10" t="s">
        <v>54</v>
      </c>
      <c r="H284" s="11">
        <v>-30</v>
      </c>
      <c r="I284" s="11">
        <v>200</v>
      </c>
      <c r="J284" s="12" t="s">
        <v>413</v>
      </c>
      <c r="K284" s="36" t="s">
        <v>414</v>
      </c>
      <c r="L284" s="10" t="s">
        <v>415</v>
      </c>
      <c r="M284" s="37" t="s">
        <v>59</v>
      </c>
      <c r="N284" s="10" t="s">
        <v>444</v>
      </c>
      <c r="O284" s="10" t="s">
        <v>60</v>
      </c>
      <c r="P284" s="10" t="s">
        <v>61</v>
      </c>
      <c r="S284" s="10">
        <v>0</v>
      </c>
      <c r="V284" s="10">
        <v>0</v>
      </c>
      <c r="W284" s="10">
        <v>5</v>
      </c>
      <c r="X284" s="10">
        <v>0</v>
      </c>
      <c r="AA284" s="10">
        <v>0</v>
      </c>
      <c r="AB284" s="10">
        <v>0</v>
      </c>
      <c r="AC284" s="10">
        <v>0</v>
      </c>
      <c r="AE284" s="14">
        <v>0</v>
      </c>
      <c r="AG284" s="14">
        <v>0</v>
      </c>
      <c r="AJ284" s="14">
        <v>0</v>
      </c>
      <c r="AK284" s="14">
        <v>0</v>
      </c>
      <c r="AL284" s="14">
        <v>0</v>
      </c>
      <c r="AM284" s="14">
        <v>0</v>
      </c>
      <c r="AO284" s="14">
        <v>0</v>
      </c>
      <c r="AP284" s="14"/>
      <c r="AQ284" s="14"/>
      <c r="AR284" s="14">
        <v>0</v>
      </c>
      <c r="AS284" s="14">
        <v>0</v>
      </c>
      <c r="AT284" s="14">
        <v>0</v>
      </c>
      <c r="AU284" s="14">
        <v>0</v>
      </c>
      <c r="AX284" s="38" t="s">
        <v>442</v>
      </c>
      <c r="AY284" s="38" t="s">
        <v>350</v>
      </c>
    </row>
    <row r="285" spans="1:51" x14ac:dyDescent="0.3">
      <c r="A285" s="34" t="s">
        <v>564</v>
      </c>
      <c r="B285" s="34" t="s">
        <v>565</v>
      </c>
      <c r="C285" s="8">
        <v>42.616667</v>
      </c>
      <c r="D285" s="8">
        <v>2.4333330000000002</v>
      </c>
      <c r="E285" s="9">
        <v>300</v>
      </c>
      <c r="F285" t="s">
        <v>53</v>
      </c>
      <c r="G285" s="10" t="s">
        <v>54</v>
      </c>
      <c r="H285" s="11">
        <v>-30</v>
      </c>
      <c r="I285" s="11">
        <v>200</v>
      </c>
      <c r="J285" s="12" t="s">
        <v>413</v>
      </c>
      <c r="K285" s="36" t="s">
        <v>414</v>
      </c>
      <c r="L285" s="10" t="s">
        <v>415</v>
      </c>
      <c r="M285" s="37" t="s">
        <v>59</v>
      </c>
      <c r="O285" s="10" t="s">
        <v>60</v>
      </c>
      <c r="P285" s="10" t="s">
        <v>61</v>
      </c>
      <c r="S285" s="10">
        <v>77</v>
      </c>
      <c r="V285" s="10">
        <v>0</v>
      </c>
      <c r="W285" s="12">
        <v>9</v>
      </c>
      <c r="X285" s="10">
        <v>0</v>
      </c>
      <c r="AA285" s="10">
        <v>0</v>
      </c>
      <c r="AB285" s="10">
        <v>0</v>
      </c>
      <c r="AC285" s="10">
        <v>0</v>
      </c>
      <c r="AE285" s="14">
        <v>0</v>
      </c>
      <c r="AG285" s="14">
        <v>0</v>
      </c>
      <c r="AJ285" s="14">
        <v>0</v>
      </c>
      <c r="AK285" s="14">
        <v>0</v>
      </c>
      <c r="AL285" s="14">
        <v>0</v>
      </c>
      <c r="AM285" s="14">
        <v>0</v>
      </c>
      <c r="AO285" s="14">
        <v>0</v>
      </c>
      <c r="AP285" s="14"/>
      <c r="AQ285" s="14"/>
      <c r="AR285" s="14">
        <v>0</v>
      </c>
      <c r="AS285" s="14">
        <v>0</v>
      </c>
      <c r="AT285" s="14">
        <v>0</v>
      </c>
      <c r="AU285" s="14">
        <v>0</v>
      </c>
      <c r="AX285" s="16" t="s">
        <v>457</v>
      </c>
      <c r="AY285" s="16" t="s">
        <v>85</v>
      </c>
    </row>
    <row r="286" spans="1:51" x14ac:dyDescent="0.3">
      <c r="A286" s="34" t="s">
        <v>566</v>
      </c>
      <c r="B286" s="35" t="s">
        <v>567</v>
      </c>
      <c r="C286" s="8">
        <v>43.616667</v>
      </c>
      <c r="D286" s="8">
        <v>5.75</v>
      </c>
      <c r="E286" s="9">
        <v>385</v>
      </c>
      <c r="F286" t="s">
        <v>53</v>
      </c>
      <c r="G286" s="10" t="s">
        <v>54</v>
      </c>
      <c r="H286" s="11">
        <v>-30</v>
      </c>
      <c r="I286" s="11">
        <v>200</v>
      </c>
      <c r="J286" s="12" t="s">
        <v>413</v>
      </c>
      <c r="K286" s="36" t="s">
        <v>414</v>
      </c>
      <c r="L286" s="12" t="s">
        <v>415</v>
      </c>
      <c r="M286" s="37" t="s">
        <v>59</v>
      </c>
      <c r="O286" s="10" t="s">
        <v>60</v>
      </c>
      <c r="P286" s="10" t="s">
        <v>61</v>
      </c>
      <c r="S286" s="10">
        <v>24</v>
      </c>
      <c r="V286" s="10">
        <v>0</v>
      </c>
      <c r="W286" s="12">
        <v>1</v>
      </c>
      <c r="X286" s="10">
        <v>1</v>
      </c>
      <c r="AA286" s="10">
        <v>5</v>
      </c>
      <c r="AB286" s="10">
        <v>0</v>
      </c>
      <c r="AC286" s="10">
        <v>1</v>
      </c>
      <c r="AE286" s="14">
        <v>0</v>
      </c>
      <c r="AF286" s="10" t="s">
        <v>495</v>
      </c>
      <c r="AG286" s="14">
        <v>0</v>
      </c>
      <c r="AJ286" s="14">
        <v>0</v>
      </c>
      <c r="AK286" s="14">
        <v>0</v>
      </c>
      <c r="AL286" s="14">
        <v>0</v>
      </c>
      <c r="AM286" s="14">
        <v>0</v>
      </c>
      <c r="AO286" s="14">
        <v>0</v>
      </c>
      <c r="AP286" s="14"/>
      <c r="AQ286" s="14"/>
      <c r="AR286" s="14">
        <v>0</v>
      </c>
      <c r="AS286" s="14">
        <v>0</v>
      </c>
      <c r="AT286" s="14">
        <v>0</v>
      </c>
      <c r="AU286" s="14">
        <v>0</v>
      </c>
      <c r="AX286" s="38" t="s">
        <v>416</v>
      </c>
      <c r="AY286" s="38" t="s">
        <v>68</v>
      </c>
    </row>
    <row r="287" spans="1:51" x14ac:dyDescent="0.3">
      <c r="A287" s="47" t="s">
        <v>568</v>
      </c>
      <c r="B287" s="48" t="s">
        <v>569</v>
      </c>
      <c r="C287" s="8">
        <v>44.35</v>
      </c>
      <c r="D287" s="8">
        <v>4.766667</v>
      </c>
      <c r="E287" s="9">
        <v>49</v>
      </c>
      <c r="F287" t="s">
        <v>53</v>
      </c>
      <c r="G287" s="10" t="s">
        <v>54</v>
      </c>
      <c r="H287" s="11">
        <v>-30</v>
      </c>
      <c r="I287" s="11">
        <v>200</v>
      </c>
      <c r="J287" s="12" t="s">
        <v>413</v>
      </c>
      <c r="K287" s="36" t="s">
        <v>414</v>
      </c>
      <c r="L287" s="10" t="s">
        <v>415</v>
      </c>
      <c r="M287" s="18" t="s">
        <v>92</v>
      </c>
      <c r="O287" s="10" t="s">
        <v>60</v>
      </c>
      <c r="P287" s="10" t="s">
        <v>84</v>
      </c>
      <c r="S287" s="10">
        <v>0</v>
      </c>
      <c r="V287" s="10">
        <v>0</v>
      </c>
      <c r="W287" s="12">
        <v>21</v>
      </c>
      <c r="X287" s="10">
        <v>0</v>
      </c>
      <c r="AA287" s="10">
        <v>0</v>
      </c>
      <c r="AB287" s="10">
        <v>0</v>
      </c>
      <c r="AC287" s="10">
        <v>0</v>
      </c>
      <c r="AE287" s="14">
        <v>0</v>
      </c>
      <c r="AG287" s="14">
        <v>0</v>
      </c>
      <c r="AJ287" s="14">
        <v>0</v>
      </c>
      <c r="AK287" s="14">
        <v>0</v>
      </c>
      <c r="AL287" s="14">
        <v>0</v>
      </c>
      <c r="AM287" s="14">
        <v>0</v>
      </c>
      <c r="AO287" s="14">
        <v>0</v>
      </c>
      <c r="AP287" s="14"/>
      <c r="AQ287" s="14"/>
      <c r="AR287" s="14">
        <v>0</v>
      </c>
      <c r="AS287" s="14">
        <v>0</v>
      </c>
      <c r="AT287" s="14">
        <v>0</v>
      </c>
      <c r="AU287" s="14">
        <v>0</v>
      </c>
      <c r="AX287" s="16" t="s">
        <v>418</v>
      </c>
      <c r="AY287" s="16" t="s">
        <v>78</v>
      </c>
    </row>
    <row r="288" spans="1:51" x14ac:dyDescent="0.3">
      <c r="A288" s="43" t="s">
        <v>570</v>
      </c>
      <c r="B288" s="48" t="s">
        <v>571</v>
      </c>
      <c r="C288" s="8">
        <v>45.75</v>
      </c>
      <c r="D288" s="8">
        <v>5.2166670000000002</v>
      </c>
      <c r="E288" s="9">
        <v>194</v>
      </c>
      <c r="F288" t="s">
        <v>53</v>
      </c>
      <c r="G288" s="10" t="s">
        <v>54</v>
      </c>
      <c r="H288" s="11">
        <v>-30</v>
      </c>
      <c r="I288" s="11">
        <v>200</v>
      </c>
      <c r="J288" s="12" t="s">
        <v>413</v>
      </c>
      <c r="K288" s="36" t="s">
        <v>414</v>
      </c>
      <c r="L288" s="12" t="s">
        <v>415</v>
      </c>
      <c r="M288" s="18" t="s">
        <v>466</v>
      </c>
      <c r="O288" s="10" t="s">
        <v>60</v>
      </c>
      <c r="P288" s="10" t="s">
        <v>61</v>
      </c>
      <c r="S288" s="10">
        <v>2</v>
      </c>
      <c r="V288" s="10">
        <v>0</v>
      </c>
      <c r="W288" s="9">
        <v>11</v>
      </c>
      <c r="X288" s="10">
        <v>0</v>
      </c>
      <c r="AA288" s="10">
        <v>0</v>
      </c>
      <c r="AB288" s="10">
        <v>0</v>
      </c>
      <c r="AC288" s="10">
        <v>0</v>
      </c>
      <c r="AE288" s="14">
        <v>0</v>
      </c>
      <c r="AG288" s="14">
        <v>0</v>
      </c>
      <c r="AJ288" s="14">
        <v>0</v>
      </c>
      <c r="AK288" s="14">
        <v>0</v>
      </c>
      <c r="AL288" s="14">
        <v>0</v>
      </c>
      <c r="AM288" s="14">
        <v>0</v>
      </c>
      <c r="AO288" s="14">
        <v>0</v>
      </c>
      <c r="AP288" s="14"/>
      <c r="AQ288" s="14"/>
      <c r="AR288" s="14">
        <v>0</v>
      </c>
      <c r="AS288" s="14">
        <v>0</v>
      </c>
      <c r="AT288" s="14">
        <v>0</v>
      </c>
      <c r="AU288" s="14">
        <v>0</v>
      </c>
      <c r="AX288" s="16" t="s">
        <v>416</v>
      </c>
      <c r="AY288" s="16" t="s">
        <v>68</v>
      </c>
    </row>
    <row r="289" spans="1:51" x14ac:dyDescent="0.3">
      <c r="A289" s="42" t="s">
        <v>572</v>
      </c>
      <c r="B289" s="42" t="s">
        <v>573</v>
      </c>
      <c r="C289" s="8">
        <v>45.37</v>
      </c>
      <c r="D289" s="8">
        <v>5.18</v>
      </c>
      <c r="E289" s="9">
        <v>433</v>
      </c>
      <c r="F289" t="s">
        <v>53</v>
      </c>
      <c r="G289" s="10" t="s">
        <v>54</v>
      </c>
      <c r="H289" s="11">
        <v>-30</v>
      </c>
      <c r="I289" s="11">
        <v>200</v>
      </c>
      <c r="J289" s="12" t="s">
        <v>413</v>
      </c>
      <c r="K289" s="36" t="s">
        <v>414</v>
      </c>
      <c r="L289" s="12" t="s">
        <v>415</v>
      </c>
      <c r="M289" s="40" t="s">
        <v>59</v>
      </c>
      <c r="O289" s="10" t="s">
        <v>60</v>
      </c>
      <c r="P289" s="10" t="s">
        <v>61</v>
      </c>
      <c r="S289" s="10">
        <v>1</v>
      </c>
      <c r="V289" s="10">
        <v>0</v>
      </c>
      <c r="W289" s="10">
        <v>11</v>
      </c>
      <c r="X289" s="10">
        <v>0</v>
      </c>
      <c r="AA289" s="10">
        <v>0</v>
      </c>
      <c r="AB289" s="10">
        <v>0</v>
      </c>
      <c r="AC289" s="10">
        <v>0</v>
      </c>
      <c r="AE289" s="10">
        <v>0</v>
      </c>
      <c r="AG289" s="14">
        <v>0</v>
      </c>
      <c r="AJ289" s="14">
        <v>0</v>
      </c>
      <c r="AK289" s="14">
        <v>0</v>
      </c>
      <c r="AL289" s="14">
        <v>0</v>
      </c>
      <c r="AM289" s="14">
        <v>0</v>
      </c>
      <c r="AO289" s="14">
        <v>0</v>
      </c>
      <c r="AP289" s="14"/>
      <c r="AQ289" s="14"/>
      <c r="AR289" s="14">
        <v>0</v>
      </c>
      <c r="AS289" s="14">
        <v>0</v>
      </c>
      <c r="AT289" s="14">
        <v>0</v>
      </c>
      <c r="AU289" s="14">
        <v>0</v>
      </c>
      <c r="AX289" s="16" t="s">
        <v>447</v>
      </c>
      <c r="AY289" s="16" t="s">
        <v>161</v>
      </c>
    </row>
    <row r="290" spans="1:51" x14ac:dyDescent="0.3">
      <c r="A290" s="43" t="s">
        <v>572</v>
      </c>
      <c r="B290" s="48" t="s">
        <v>573</v>
      </c>
      <c r="C290" s="8">
        <v>45.37</v>
      </c>
      <c r="D290" s="8">
        <v>5.18</v>
      </c>
      <c r="E290" s="9">
        <v>433</v>
      </c>
      <c r="F290" t="s">
        <v>53</v>
      </c>
      <c r="G290" s="10" t="s">
        <v>54</v>
      </c>
      <c r="H290" s="11">
        <v>-30</v>
      </c>
      <c r="I290" s="11">
        <v>200</v>
      </c>
      <c r="J290" s="12" t="s">
        <v>413</v>
      </c>
      <c r="K290" s="36" t="s">
        <v>414</v>
      </c>
      <c r="L290" s="12" t="s">
        <v>415</v>
      </c>
      <c r="M290" s="18" t="s">
        <v>92</v>
      </c>
      <c r="O290" s="10" t="s">
        <v>60</v>
      </c>
      <c r="P290" s="10" t="s">
        <v>61</v>
      </c>
      <c r="S290" s="10">
        <v>23</v>
      </c>
      <c r="V290" s="10">
        <v>36</v>
      </c>
      <c r="W290" s="10">
        <v>7</v>
      </c>
      <c r="X290" s="10">
        <v>0</v>
      </c>
      <c r="AA290" s="10">
        <v>0</v>
      </c>
      <c r="AB290" s="10">
        <v>0</v>
      </c>
      <c r="AC290" s="10">
        <v>0</v>
      </c>
      <c r="AE290" s="10">
        <v>0</v>
      </c>
      <c r="AG290" s="14">
        <v>0</v>
      </c>
      <c r="AJ290" s="14">
        <v>0</v>
      </c>
      <c r="AK290" s="14">
        <v>0</v>
      </c>
      <c r="AL290" s="14">
        <v>0</v>
      </c>
      <c r="AM290" s="14">
        <v>0</v>
      </c>
      <c r="AO290" s="14">
        <v>0</v>
      </c>
      <c r="AP290" s="14"/>
      <c r="AQ290" s="14"/>
      <c r="AR290" s="14">
        <v>0</v>
      </c>
      <c r="AS290" s="14">
        <v>0</v>
      </c>
      <c r="AT290" s="14">
        <v>0</v>
      </c>
      <c r="AU290" s="14">
        <v>0</v>
      </c>
      <c r="AX290" s="16" t="s">
        <v>447</v>
      </c>
      <c r="AY290" s="15" t="s">
        <v>161</v>
      </c>
    </row>
    <row r="291" spans="1:51" x14ac:dyDescent="0.3">
      <c r="A291" s="34" t="s">
        <v>574</v>
      </c>
      <c r="B291" s="35" t="s">
        <v>575</v>
      </c>
      <c r="C291" s="8">
        <v>44.066667000000002</v>
      </c>
      <c r="D291" s="8">
        <v>4.6333330000000004</v>
      </c>
      <c r="E291" s="9">
        <v>269</v>
      </c>
      <c r="F291" t="s">
        <v>53</v>
      </c>
      <c r="G291" s="10" t="s">
        <v>54</v>
      </c>
      <c r="H291" s="11">
        <v>-30</v>
      </c>
      <c r="I291" s="11">
        <v>200</v>
      </c>
      <c r="J291" s="12" t="s">
        <v>413</v>
      </c>
      <c r="K291" s="36" t="s">
        <v>414</v>
      </c>
      <c r="L291" s="12" t="s">
        <v>415</v>
      </c>
      <c r="M291" s="37" t="s">
        <v>59</v>
      </c>
      <c r="O291" s="10" t="s">
        <v>60</v>
      </c>
      <c r="P291" s="10" t="s">
        <v>61</v>
      </c>
      <c r="S291" s="10">
        <v>4322</v>
      </c>
      <c r="V291" s="10">
        <v>15</v>
      </c>
      <c r="W291" s="12">
        <v>1</v>
      </c>
      <c r="X291" s="10">
        <v>1</v>
      </c>
      <c r="AA291" s="10">
        <v>95</v>
      </c>
      <c r="AB291" s="10">
        <v>0</v>
      </c>
      <c r="AC291" s="10">
        <v>1</v>
      </c>
      <c r="AE291" s="10">
        <v>0</v>
      </c>
      <c r="AF291" s="10" t="s">
        <v>495</v>
      </c>
      <c r="AG291" s="14">
        <v>0</v>
      </c>
      <c r="AJ291" s="14">
        <v>0</v>
      </c>
      <c r="AK291" s="14">
        <v>0</v>
      </c>
      <c r="AL291" s="14">
        <v>0</v>
      </c>
      <c r="AM291" s="14">
        <v>0</v>
      </c>
      <c r="AO291" s="14">
        <v>0</v>
      </c>
      <c r="AP291" s="14"/>
      <c r="AQ291" s="14"/>
      <c r="AR291" s="14">
        <v>0</v>
      </c>
      <c r="AS291" s="14">
        <v>0</v>
      </c>
      <c r="AT291" s="14">
        <v>0</v>
      </c>
      <c r="AU291" s="14">
        <v>0</v>
      </c>
      <c r="AX291" s="38" t="s">
        <v>416</v>
      </c>
      <c r="AY291" s="38" t="s">
        <v>68</v>
      </c>
    </row>
    <row r="292" spans="1:51" x14ac:dyDescent="0.3">
      <c r="A292" s="42" t="s">
        <v>576</v>
      </c>
      <c r="B292" s="35" t="s">
        <v>577</v>
      </c>
      <c r="C292" s="8">
        <v>43.3</v>
      </c>
      <c r="D292" s="8">
        <v>3.266667</v>
      </c>
      <c r="E292" s="9">
        <v>6</v>
      </c>
      <c r="F292" t="s">
        <v>53</v>
      </c>
      <c r="G292" s="10" t="s">
        <v>54</v>
      </c>
      <c r="H292" s="11">
        <v>-30</v>
      </c>
      <c r="I292" s="11">
        <v>200</v>
      </c>
      <c r="J292" s="12" t="s">
        <v>413</v>
      </c>
      <c r="K292" s="36" t="s">
        <v>414</v>
      </c>
      <c r="L292" s="12" t="s">
        <v>415</v>
      </c>
      <c r="M292" s="40" t="s">
        <v>59</v>
      </c>
      <c r="N292" s="10" t="s">
        <v>444</v>
      </c>
      <c r="O292" s="10" t="s">
        <v>60</v>
      </c>
      <c r="P292" s="10" t="s">
        <v>61</v>
      </c>
      <c r="S292" s="10">
        <v>6</v>
      </c>
      <c r="V292" s="10">
        <v>0</v>
      </c>
      <c r="W292" s="10">
        <v>8</v>
      </c>
      <c r="X292" s="10">
        <v>0</v>
      </c>
      <c r="AA292" s="10">
        <v>0</v>
      </c>
      <c r="AB292" s="10">
        <v>0</v>
      </c>
      <c r="AC292" s="10">
        <v>0</v>
      </c>
      <c r="AE292" s="10">
        <v>0</v>
      </c>
      <c r="AG292" s="14">
        <v>0</v>
      </c>
      <c r="AJ292" s="14">
        <v>0</v>
      </c>
      <c r="AK292" s="14">
        <v>0</v>
      </c>
      <c r="AL292" s="14">
        <v>0</v>
      </c>
      <c r="AM292" s="14">
        <v>0</v>
      </c>
      <c r="AO292" s="14">
        <v>0</v>
      </c>
      <c r="AP292" s="14"/>
      <c r="AQ292" s="14"/>
      <c r="AR292" s="14">
        <v>0</v>
      </c>
      <c r="AS292" s="14">
        <v>0</v>
      </c>
      <c r="AT292" s="14">
        <v>0</v>
      </c>
      <c r="AU292" s="14">
        <v>0</v>
      </c>
      <c r="AX292" s="38" t="s">
        <v>578</v>
      </c>
      <c r="AY292" s="38" t="s">
        <v>131</v>
      </c>
    </row>
    <row r="293" spans="1:51" x14ac:dyDescent="0.3">
      <c r="A293" s="42" t="s">
        <v>579</v>
      </c>
      <c r="B293" s="42" t="s">
        <v>580</v>
      </c>
      <c r="C293" s="8">
        <v>44.6</v>
      </c>
      <c r="D293" s="8">
        <v>4.8166669999999998</v>
      </c>
      <c r="E293" s="9">
        <v>194</v>
      </c>
      <c r="F293" t="s">
        <v>53</v>
      </c>
      <c r="G293" s="10" t="s">
        <v>54</v>
      </c>
      <c r="H293" s="11">
        <v>-30</v>
      </c>
      <c r="I293" s="11">
        <v>200</v>
      </c>
      <c r="J293" s="12" t="s">
        <v>413</v>
      </c>
      <c r="K293" s="36" t="s">
        <v>414</v>
      </c>
      <c r="L293" s="10" t="s">
        <v>415</v>
      </c>
      <c r="M293" s="40" t="s">
        <v>59</v>
      </c>
      <c r="N293" s="10" t="s">
        <v>241</v>
      </c>
      <c r="O293" s="10" t="s">
        <v>60</v>
      </c>
      <c r="P293" s="10" t="s">
        <v>61</v>
      </c>
      <c r="S293" s="10">
        <v>147</v>
      </c>
      <c r="V293" s="10">
        <v>8</v>
      </c>
      <c r="W293" s="10">
        <v>6</v>
      </c>
      <c r="X293" s="10">
        <v>0</v>
      </c>
      <c r="AA293" s="10">
        <v>0</v>
      </c>
      <c r="AB293" s="10">
        <v>0</v>
      </c>
      <c r="AC293" s="10">
        <v>0</v>
      </c>
      <c r="AE293" s="14">
        <v>0</v>
      </c>
      <c r="AG293" s="14">
        <v>0</v>
      </c>
      <c r="AJ293" s="14">
        <v>0</v>
      </c>
      <c r="AK293" s="14">
        <v>0</v>
      </c>
      <c r="AL293" s="14">
        <v>0</v>
      </c>
      <c r="AM293" s="14">
        <v>0</v>
      </c>
      <c r="AO293" s="14">
        <v>0</v>
      </c>
      <c r="AP293" s="14"/>
      <c r="AQ293" s="14"/>
      <c r="AR293" s="14">
        <v>0</v>
      </c>
      <c r="AS293" s="14">
        <v>0</v>
      </c>
      <c r="AT293" s="14">
        <v>0</v>
      </c>
      <c r="AU293" s="14">
        <v>0</v>
      </c>
      <c r="AX293" s="16" t="s">
        <v>442</v>
      </c>
      <c r="AY293" s="16" t="s">
        <v>350</v>
      </c>
    </row>
    <row r="294" spans="1:51" x14ac:dyDescent="0.3">
      <c r="A294" s="34" t="s">
        <v>581</v>
      </c>
      <c r="B294" s="35" t="s">
        <v>582</v>
      </c>
      <c r="C294" s="8">
        <v>43.916666999999997</v>
      </c>
      <c r="D294" s="8">
        <v>4.55</v>
      </c>
      <c r="E294" s="9">
        <v>169</v>
      </c>
      <c r="F294" t="s">
        <v>53</v>
      </c>
      <c r="G294" s="10" t="s">
        <v>54</v>
      </c>
      <c r="H294" s="11">
        <v>-30</v>
      </c>
      <c r="I294" s="11">
        <v>200</v>
      </c>
      <c r="J294" s="12" t="s">
        <v>413</v>
      </c>
      <c r="K294" s="36" t="s">
        <v>414</v>
      </c>
      <c r="L294" s="12" t="s">
        <v>415</v>
      </c>
      <c r="M294" s="37" t="s">
        <v>59</v>
      </c>
      <c r="O294" s="10" t="s">
        <v>60</v>
      </c>
      <c r="P294" s="10" t="s">
        <v>61</v>
      </c>
      <c r="S294" s="10">
        <v>22728</v>
      </c>
      <c r="V294" s="10">
        <v>276</v>
      </c>
      <c r="W294" s="12">
        <v>2</v>
      </c>
      <c r="X294" s="10">
        <v>1</v>
      </c>
      <c r="AA294" s="10">
        <v>6176</v>
      </c>
      <c r="AB294" s="10">
        <v>0</v>
      </c>
      <c r="AC294" s="10">
        <v>2</v>
      </c>
      <c r="AE294" s="10">
        <v>2</v>
      </c>
      <c r="AF294" s="10" t="s">
        <v>495</v>
      </c>
      <c r="AG294" s="14">
        <v>0</v>
      </c>
      <c r="AJ294" s="14">
        <v>0</v>
      </c>
      <c r="AK294" s="14">
        <v>0</v>
      </c>
      <c r="AL294" s="14">
        <v>0</v>
      </c>
      <c r="AM294" s="14">
        <v>0</v>
      </c>
      <c r="AO294" s="14">
        <v>0</v>
      </c>
      <c r="AP294" s="14"/>
      <c r="AQ294" s="14"/>
      <c r="AR294" s="14">
        <v>0</v>
      </c>
      <c r="AS294" s="14">
        <v>0</v>
      </c>
      <c r="AT294" s="14">
        <v>0</v>
      </c>
      <c r="AU294" s="14">
        <v>0</v>
      </c>
      <c r="AX294" s="38" t="s">
        <v>416</v>
      </c>
      <c r="AY294" s="15" t="s">
        <v>68</v>
      </c>
    </row>
    <row r="295" spans="1:51" x14ac:dyDescent="0.3">
      <c r="A295" s="34" t="s">
        <v>583</v>
      </c>
      <c r="B295" s="34" t="s">
        <v>584</v>
      </c>
      <c r="C295" s="8">
        <v>42.633333</v>
      </c>
      <c r="D295" s="8">
        <v>2.95</v>
      </c>
      <c r="E295" s="9">
        <v>13</v>
      </c>
      <c r="F295" t="s">
        <v>53</v>
      </c>
      <c r="G295" s="10" t="s">
        <v>54</v>
      </c>
      <c r="H295" s="11">
        <v>-30</v>
      </c>
      <c r="I295" s="11">
        <v>200</v>
      </c>
      <c r="J295" s="12" t="s">
        <v>413</v>
      </c>
      <c r="K295" s="36" t="s">
        <v>414</v>
      </c>
      <c r="L295" s="10" t="s">
        <v>415</v>
      </c>
      <c r="M295" s="37" t="s">
        <v>59</v>
      </c>
      <c r="O295" s="10" t="s">
        <v>60</v>
      </c>
      <c r="P295" s="10" t="s">
        <v>61</v>
      </c>
      <c r="S295" s="10">
        <v>3</v>
      </c>
      <c r="V295" s="10">
        <v>0</v>
      </c>
      <c r="W295" s="18">
        <v>2</v>
      </c>
      <c r="X295" s="10">
        <v>0</v>
      </c>
      <c r="AA295" s="10">
        <v>0</v>
      </c>
      <c r="AB295" s="10">
        <v>0</v>
      </c>
      <c r="AC295" s="10">
        <v>0</v>
      </c>
      <c r="AE295" s="10">
        <v>0</v>
      </c>
      <c r="AG295" s="14">
        <v>0</v>
      </c>
      <c r="AJ295" s="14">
        <v>0</v>
      </c>
      <c r="AK295" s="14">
        <v>0</v>
      </c>
      <c r="AL295" s="14">
        <v>0</v>
      </c>
      <c r="AM295" s="14">
        <v>0</v>
      </c>
      <c r="AO295" s="14">
        <v>0</v>
      </c>
      <c r="AP295" s="14"/>
      <c r="AQ295" s="14"/>
      <c r="AR295" s="14">
        <v>0</v>
      </c>
      <c r="AS295" s="14">
        <v>0</v>
      </c>
      <c r="AT295" s="14">
        <v>0</v>
      </c>
      <c r="AU295" s="14">
        <v>0</v>
      </c>
      <c r="AX295" s="16" t="s">
        <v>472</v>
      </c>
      <c r="AY295" s="16" t="s">
        <v>85</v>
      </c>
    </row>
    <row r="296" spans="1:51" x14ac:dyDescent="0.3">
      <c r="A296" s="43" t="s">
        <v>585</v>
      </c>
      <c r="B296" s="35" t="s">
        <v>586</v>
      </c>
      <c r="C296" s="8">
        <v>43.116667</v>
      </c>
      <c r="D296" s="8">
        <v>5.9333330000000002</v>
      </c>
      <c r="E296" s="9">
        <v>16</v>
      </c>
      <c r="F296" t="s">
        <v>53</v>
      </c>
      <c r="G296" s="10" t="s">
        <v>54</v>
      </c>
      <c r="H296" s="11">
        <v>-30</v>
      </c>
      <c r="I296" s="11">
        <v>200</v>
      </c>
      <c r="J296" s="12" t="s">
        <v>413</v>
      </c>
      <c r="K296" s="36" t="s">
        <v>414</v>
      </c>
      <c r="L296" s="12" t="s">
        <v>415</v>
      </c>
      <c r="M296" s="37" t="s">
        <v>421</v>
      </c>
      <c r="O296" s="10" t="s">
        <v>60</v>
      </c>
      <c r="P296" s="10" t="s">
        <v>61</v>
      </c>
      <c r="S296" s="10">
        <v>1</v>
      </c>
      <c r="V296" s="10">
        <v>1</v>
      </c>
      <c r="W296" s="10">
        <v>6</v>
      </c>
      <c r="X296" s="10">
        <v>0</v>
      </c>
      <c r="AA296" s="10">
        <v>0</v>
      </c>
      <c r="AB296" s="10">
        <v>0</v>
      </c>
      <c r="AC296" s="10">
        <v>0</v>
      </c>
      <c r="AE296" s="14">
        <v>0</v>
      </c>
      <c r="AG296" s="14">
        <v>0</v>
      </c>
      <c r="AJ296" s="14">
        <v>0</v>
      </c>
      <c r="AK296" s="14">
        <v>0</v>
      </c>
      <c r="AL296" s="14">
        <v>0</v>
      </c>
      <c r="AM296" s="14">
        <v>0</v>
      </c>
      <c r="AO296" s="14">
        <v>0</v>
      </c>
      <c r="AP296" s="14"/>
      <c r="AQ296" s="14"/>
      <c r="AR296" s="14">
        <v>0</v>
      </c>
      <c r="AS296" s="14">
        <v>0</v>
      </c>
      <c r="AT296" s="14">
        <v>0</v>
      </c>
      <c r="AU296" s="14">
        <v>0</v>
      </c>
      <c r="AX296" s="16" t="s">
        <v>416</v>
      </c>
      <c r="AY296" s="16" t="s">
        <v>68</v>
      </c>
    </row>
    <row r="297" spans="1:51" x14ac:dyDescent="0.3">
      <c r="A297" s="42" t="s">
        <v>587</v>
      </c>
      <c r="B297" s="42" t="s">
        <v>588</v>
      </c>
      <c r="C297" s="8">
        <v>44.24</v>
      </c>
      <c r="D297" s="8">
        <v>5.0599999999999996</v>
      </c>
      <c r="E297" s="9">
        <v>156</v>
      </c>
      <c r="F297" t="s">
        <v>53</v>
      </c>
      <c r="G297" s="10" t="s">
        <v>54</v>
      </c>
      <c r="H297" s="11">
        <v>-30</v>
      </c>
      <c r="I297" s="11">
        <v>200</v>
      </c>
      <c r="J297" s="12" t="s">
        <v>413</v>
      </c>
      <c r="K297" s="36" t="s">
        <v>414</v>
      </c>
      <c r="L297" s="10" t="s">
        <v>415</v>
      </c>
      <c r="M297" s="40" t="s">
        <v>59</v>
      </c>
      <c r="O297" s="10" t="s">
        <v>60</v>
      </c>
      <c r="P297" s="10" t="s">
        <v>61</v>
      </c>
      <c r="S297" s="10">
        <v>5</v>
      </c>
      <c r="V297" s="10">
        <v>2</v>
      </c>
      <c r="W297" s="10">
        <v>2</v>
      </c>
      <c r="X297" s="10">
        <v>0</v>
      </c>
      <c r="AA297" s="10">
        <v>0</v>
      </c>
      <c r="AB297" s="10">
        <v>0</v>
      </c>
      <c r="AC297" s="10">
        <v>0</v>
      </c>
      <c r="AE297" s="10">
        <v>0</v>
      </c>
      <c r="AG297" s="14">
        <v>0</v>
      </c>
      <c r="AJ297" s="14">
        <v>0</v>
      </c>
      <c r="AK297" s="14">
        <v>0</v>
      </c>
      <c r="AL297" s="14">
        <v>0</v>
      </c>
      <c r="AM297" s="14">
        <v>0</v>
      </c>
      <c r="AO297" s="14">
        <v>0</v>
      </c>
      <c r="AP297" s="14"/>
      <c r="AQ297" s="14"/>
      <c r="AR297" s="14">
        <v>0</v>
      </c>
      <c r="AS297" s="14">
        <v>0</v>
      </c>
      <c r="AT297" s="14">
        <v>0</v>
      </c>
      <c r="AU297" s="14">
        <v>0</v>
      </c>
      <c r="AX297" s="38" t="s">
        <v>589</v>
      </c>
      <c r="AY297" s="16" t="s">
        <v>68</v>
      </c>
    </row>
    <row r="298" spans="1:51" x14ac:dyDescent="0.3">
      <c r="A298" s="42" t="s">
        <v>590</v>
      </c>
      <c r="B298" s="42" t="s">
        <v>591</v>
      </c>
      <c r="C298" s="8">
        <v>44.933332999999998</v>
      </c>
      <c r="D298" s="8">
        <v>4.9000000000000004</v>
      </c>
      <c r="E298" s="9">
        <v>107</v>
      </c>
      <c r="F298" t="s">
        <v>53</v>
      </c>
      <c r="G298" s="10" t="s">
        <v>54</v>
      </c>
      <c r="H298" s="11">
        <v>-125</v>
      </c>
      <c r="I298" s="11">
        <v>-30</v>
      </c>
      <c r="J298" s="12" t="s">
        <v>413</v>
      </c>
      <c r="K298" s="36" t="s">
        <v>414</v>
      </c>
      <c r="L298" s="10" t="s">
        <v>449</v>
      </c>
      <c r="M298" s="40" t="s">
        <v>592</v>
      </c>
      <c r="O298" s="10" t="s">
        <v>60</v>
      </c>
      <c r="P298" s="10" t="s">
        <v>61</v>
      </c>
      <c r="S298" s="10">
        <v>3368</v>
      </c>
      <c r="V298" s="10">
        <v>22</v>
      </c>
      <c r="W298" s="10">
        <v>63</v>
      </c>
      <c r="X298" s="10">
        <v>1</v>
      </c>
      <c r="AA298" s="10">
        <v>2</v>
      </c>
      <c r="AB298" s="10">
        <v>0</v>
      </c>
      <c r="AC298" s="10">
        <v>1</v>
      </c>
      <c r="AE298" s="10">
        <v>0</v>
      </c>
      <c r="AF298" s="10" t="s">
        <v>495</v>
      </c>
      <c r="AG298" s="14">
        <v>1</v>
      </c>
      <c r="AJ298" s="14">
        <v>2</v>
      </c>
      <c r="AK298" s="14">
        <v>0</v>
      </c>
      <c r="AL298" s="14">
        <v>2</v>
      </c>
      <c r="AM298" s="14">
        <v>0</v>
      </c>
      <c r="AN298" s="10" t="s">
        <v>500</v>
      </c>
      <c r="AO298" s="14">
        <v>0</v>
      </c>
      <c r="AP298" s="14"/>
      <c r="AQ298" s="14"/>
      <c r="AR298" s="14">
        <v>0</v>
      </c>
      <c r="AS298" s="14">
        <v>0</v>
      </c>
      <c r="AT298" s="14">
        <v>0</v>
      </c>
      <c r="AU298" s="14">
        <v>0</v>
      </c>
      <c r="AX298" s="16" t="s">
        <v>457</v>
      </c>
      <c r="AY298" s="16" t="s">
        <v>85</v>
      </c>
    </row>
    <row r="299" spans="1:51" x14ac:dyDescent="0.3">
      <c r="A299" s="34" t="s">
        <v>593</v>
      </c>
      <c r="B299" s="35" t="s">
        <v>127</v>
      </c>
      <c r="C299" s="8">
        <v>43.416666999999997</v>
      </c>
      <c r="D299" s="8">
        <v>3.3666670000000001</v>
      </c>
      <c r="E299" s="9">
        <v>24</v>
      </c>
      <c r="F299" t="s">
        <v>53</v>
      </c>
      <c r="G299" s="10" t="s">
        <v>54</v>
      </c>
      <c r="H299" s="11">
        <v>-30</v>
      </c>
      <c r="I299" s="11">
        <v>200</v>
      </c>
      <c r="J299" s="12" t="s">
        <v>413</v>
      </c>
      <c r="K299" s="36" t="s">
        <v>414</v>
      </c>
      <c r="L299" s="10" t="s">
        <v>415</v>
      </c>
      <c r="M299" s="37" t="s">
        <v>59</v>
      </c>
      <c r="O299" s="10" t="s">
        <v>60</v>
      </c>
      <c r="P299" s="10" t="s">
        <v>61</v>
      </c>
      <c r="S299" s="10">
        <v>2</v>
      </c>
      <c r="V299" s="10">
        <v>0</v>
      </c>
      <c r="W299" s="10">
        <v>12</v>
      </c>
      <c r="X299" s="10">
        <v>0</v>
      </c>
      <c r="AA299" s="10">
        <v>0</v>
      </c>
      <c r="AB299" s="10">
        <v>0</v>
      </c>
      <c r="AC299" s="10">
        <v>0</v>
      </c>
      <c r="AE299" s="14">
        <v>0</v>
      </c>
      <c r="AG299" s="14">
        <v>0</v>
      </c>
      <c r="AJ299" s="14">
        <v>0</v>
      </c>
      <c r="AK299" s="14">
        <v>0</v>
      </c>
      <c r="AL299" s="14">
        <v>0</v>
      </c>
      <c r="AM299" s="14">
        <v>0</v>
      </c>
      <c r="AO299" s="14">
        <v>0</v>
      </c>
      <c r="AP299" s="14"/>
      <c r="AQ299" s="14"/>
      <c r="AR299" s="14">
        <v>0</v>
      </c>
      <c r="AS299" s="14">
        <v>0</v>
      </c>
      <c r="AT299" s="14">
        <v>0</v>
      </c>
      <c r="AU299" s="14">
        <v>0</v>
      </c>
      <c r="AX299" s="38" t="s">
        <v>594</v>
      </c>
      <c r="AY299" s="38" t="s">
        <v>131</v>
      </c>
    </row>
    <row r="300" spans="1:51" x14ac:dyDescent="0.3">
      <c r="A300" s="34" t="s">
        <v>593</v>
      </c>
      <c r="B300" s="35" t="s">
        <v>127</v>
      </c>
      <c r="C300" s="8">
        <v>43.416666999999997</v>
      </c>
      <c r="D300" s="8">
        <v>3.3666670000000001</v>
      </c>
      <c r="E300" s="9">
        <v>24</v>
      </c>
      <c r="F300" t="s">
        <v>53</v>
      </c>
      <c r="G300" s="10" t="s">
        <v>54</v>
      </c>
      <c r="H300" s="11">
        <v>-30</v>
      </c>
      <c r="I300" s="11">
        <v>200</v>
      </c>
      <c r="J300" s="12" t="s">
        <v>413</v>
      </c>
      <c r="K300" s="36" t="s">
        <v>414</v>
      </c>
      <c r="L300" s="10" t="s">
        <v>415</v>
      </c>
      <c r="M300" s="37" t="s">
        <v>92</v>
      </c>
      <c r="O300" s="10" t="s">
        <v>60</v>
      </c>
      <c r="P300" s="10" t="s">
        <v>61</v>
      </c>
      <c r="S300" s="10">
        <v>0</v>
      </c>
      <c r="V300" s="10">
        <v>0</v>
      </c>
      <c r="W300" s="10">
        <v>2</v>
      </c>
      <c r="X300" s="10">
        <v>0</v>
      </c>
      <c r="AA300" s="10">
        <v>0</v>
      </c>
      <c r="AB300" s="10">
        <v>0</v>
      </c>
      <c r="AC300" s="10">
        <v>0</v>
      </c>
      <c r="AE300" s="14">
        <v>0</v>
      </c>
      <c r="AG300" s="14">
        <v>0</v>
      </c>
      <c r="AJ300" s="14">
        <v>0</v>
      </c>
      <c r="AK300" s="14">
        <v>0</v>
      </c>
      <c r="AL300" s="14">
        <v>0</v>
      </c>
      <c r="AM300" s="14">
        <v>0</v>
      </c>
      <c r="AO300" s="14">
        <v>0</v>
      </c>
      <c r="AP300" s="14"/>
      <c r="AQ300" s="14"/>
      <c r="AR300" s="14">
        <v>0</v>
      </c>
      <c r="AS300" s="14">
        <v>0</v>
      </c>
      <c r="AT300" s="14">
        <v>0</v>
      </c>
      <c r="AU300" s="14">
        <v>0</v>
      </c>
      <c r="AX300" s="38" t="s">
        <v>594</v>
      </c>
      <c r="AY300" s="38" t="s">
        <v>131</v>
      </c>
    </row>
    <row r="301" spans="1:51" x14ac:dyDescent="0.3">
      <c r="A301" s="42" t="s">
        <v>595</v>
      </c>
      <c r="B301" s="35" t="s">
        <v>127</v>
      </c>
      <c r="C301" s="8">
        <v>43.416666999999997</v>
      </c>
      <c r="D301" s="8">
        <v>3.3666670000000001</v>
      </c>
      <c r="E301" s="9">
        <v>24</v>
      </c>
      <c r="F301" t="s">
        <v>53</v>
      </c>
      <c r="G301" s="10" t="s">
        <v>54</v>
      </c>
      <c r="H301" s="11">
        <v>-30</v>
      </c>
      <c r="I301" s="11">
        <v>200</v>
      </c>
      <c r="J301" s="12" t="s">
        <v>413</v>
      </c>
      <c r="K301" s="36" t="s">
        <v>414</v>
      </c>
      <c r="L301" s="10" t="s">
        <v>415</v>
      </c>
      <c r="M301" s="40" t="s">
        <v>92</v>
      </c>
      <c r="O301" s="10" t="s">
        <v>60</v>
      </c>
      <c r="P301" s="10" t="s">
        <v>61</v>
      </c>
      <c r="S301" s="10">
        <v>2</v>
      </c>
      <c r="V301" s="10">
        <v>0</v>
      </c>
      <c r="W301" s="12">
        <v>17</v>
      </c>
      <c r="X301" s="10">
        <v>0</v>
      </c>
      <c r="AA301" s="10">
        <v>0</v>
      </c>
      <c r="AB301" s="10">
        <v>0</v>
      </c>
      <c r="AC301" s="10">
        <v>0</v>
      </c>
      <c r="AE301" s="14">
        <v>0</v>
      </c>
      <c r="AG301" s="14">
        <v>0</v>
      </c>
      <c r="AJ301" s="14">
        <v>0</v>
      </c>
      <c r="AK301" s="14">
        <v>0</v>
      </c>
      <c r="AL301" s="14">
        <v>0</v>
      </c>
      <c r="AM301" s="14">
        <v>0</v>
      </c>
      <c r="AO301" s="14">
        <v>0</v>
      </c>
      <c r="AP301" s="14"/>
      <c r="AQ301" s="14"/>
      <c r="AR301" s="14">
        <v>0</v>
      </c>
      <c r="AS301" s="14">
        <v>0</v>
      </c>
      <c r="AT301" s="14">
        <v>0</v>
      </c>
      <c r="AU301" s="14">
        <v>0</v>
      </c>
      <c r="AX301" s="38" t="s">
        <v>460</v>
      </c>
      <c r="AY301" s="38" t="s">
        <v>131</v>
      </c>
    </row>
    <row r="302" spans="1:51" x14ac:dyDescent="0.3">
      <c r="A302" s="43" t="s">
        <v>596</v>
      </c>
      <c r="B302" s="35" t="s">
        <v>597</v>
      </c>
      <c r="C302" s="8">
        <v>43.2</v>
      </c>
      <c r="D302" s="8">
        <v>2.08</v>
      </c>
      <c r="E302" s="9">
        <v>320</v>
      </c>
      <c r="F302" t="s">
        <v>53</v>
      </c>
      <c r="G302" s="10" t="s">
        <v>54</v>
      </c>
      <c r="H302" s="11">
        <v>-30</v>
      </c>
      <c r="I302" s="11">
        <v>200</v>
      </c>
      <c r="J302" s="12" t="s">
        <v>413</v>
      </c>
      <c r="K302" s="36" t="s">
        <v>414</v>
      </c>
      <c r="L302" s="10" t="s">
        <v>415</v>
      </c>
      <c r="M302" s="37" t="s">
        <v>92</v>
      </c>
      <c r="O302" s="10" t="s">
        <v>60</v>
      </c>
      <c r="P302" s="10" t="s">
        <v>84</v>
      </c>
      <c r="S302" s="10">
        <v>0</v>
      </c>
      <c r="V302" s="10">
        <v>0</v>
      </c>
      <c r="W302" s="9">
        <v>1</v>
      </c>
      <c r="X302" s="10">
        <v>0</v>
      </c>
      <c r="AA302" s="10">
        <v>0</v>
      </c>
      <c r="AB302" s="10">
        <v>0</v>
      </c>
      <c r="AC302" s="10">
        <v>0</v>
      </c>
      <c r="AE302" s="14">
        <v>0</v>
      </c>
      <c r="AG302" s="14">
        <v>0</v>
      </c>
      <c r="AJ302" s="14">
        <v>0</v>
      </c>
      <c r="AK302" s="14">
        <v>0</v>
      </c>
      <c r="AL302" s="14">
        <v>0</v>
      </c>
      <c r="AM302" s="14">
        <v>0</v>
      </c>
      <c r="AO302" s="14">
        <v>0</v>
      </c>
      <c r="AP302" s="14"/>
      <c r="AQ302" s="14"/>
      <c r="AR302" s="14">
        <v>0</v>
      </c>
      <c r="AS302" s="14">
        <v>0</v>
      </c>
      <c r="AT302" s="14">
        <v>0</v>
      </c>
      <c r="AU302" s="14">
        <v>0</v>
      </c>
      <c r="AX302" s="38" t="s">
        <v>418</v>
      </c>
      <c r="AY302" s="38" t="s">
        <v>78</v>
      </c>
    </row>
    <row r="303" spans="1:51" x14ac:dyDescent="0.3">
      <c r="A303" s="34" t="s">
        <v>296</v>
      </c>
      <c r="B303" s="35" t="s">
        <v>297</v>
      </c>
      <c r="C303" s="8">
        <v>43.316667000000002</v>
      </c>
      <c r="D303" s="8">
        <v>3.266667</v>
      </c>
      <c r="E303" s="9">
        <v>2</v>
      </c>
      <c r="F303" t="s">
        <v>53</v>
      </c>
      <c r="G303" s="10" t="s">
        <v>54</v>
      </c>
      <c r="H303" s="11">
        <v>-30</v>
      </c>
      <c r="I303" s="11">
        <v>200</v>
      </c>
      <c r="J303" s="12" t="s">
        <v>413</v>
      </c>
      <c r="K303" s="36" t="s">
        <v>414</v>
      </c>
      <c r="L303" s="12" t="s">
        <v>415</v>
      </c>
      <c r="M303" s="37" t="s">
        <v>59</v>
      </c>
      <c r="O303" s="10" t="s">
        <v>60</v>
      </c>
      <c r="P303" s="10" t="s">
        <v>61</v>
      </c>
      <c r="S303" s="10">
        <v>1</v>
      </c>
      <c r="V303" s="10">
        <v>0</v>
      </c>
      <c r="W303" s="12">
        <v>1</v>
      </c>
      <c r="X303" s="10">
        <v>0</v>
      </c>
      <c r="AA303" s="10">
        <v>0</v>
      </c>
      <c r="AB303" s="10">
        <v>0</v>
      </c>
      <c r="AC303" s="10">
        <v>0</v>
      </c>
      <c r="AE303" s="10">
        <v>0</v>
      </c>
      <c r="AG303" s="14">
        <v>0</v>
      </c>
      <c r="AJ303" s="14">
        <v>0</v>
      </c>
      <c r="AK303" s="14">
        <v>0</v>
      </c>
      <c r="AL303" s="14">
        <v>0</v>
      </c>
      <c r="AM303" s="14">
        <v>0</v>
      </c>
      <c r="AO303" s="14">
        <v>0</v>
      </c>
      <c r="AP303" s="14"/>
      <c r="AQ303" s="14"/>
      <c r="AR303" s="14">
        <v>0</v>
      </c>
      <c r="AS303" s="14">
        <v>0</v>
      </c>
      <c r="AT303" s="14">
        <v>0</v>
      </c>
      <c r="AU303" s="14">
        <v>0</v>
      </c>
      <c r="AX303" s="38" t="s">
        <v>416</v>
      </c>
      <c r="AY303" s="38" t="s">
        <v>68</v>
      </c>
    </row>
    <row r="304" spans="1:51" x14ac:dyDescent="0.3">
      <c r="A304" s="34" t="s">
        <v>598</v>
      </c>
      <c r="B304" s="35" t="s">
        <v>599</v>
      </c>
      <c r="C304" s="8">
        <v>43.733333000000002</v>
      </c>
      <c r="D304" s="8">
        <v>4.1500000000000004</v>
      </c>
      <c r="E304" s="26">
        <v>15</v>
      </c>
      <c r="F304" t="s">
        <v>53</v>
      </c>
      <c r="G304" s="10" t="s">
        <v>54</v>
      </c>
      <c r="H304" s="11">
        <v>-30</v>
      </c>
      <c r="I304" s="11">
        <v>200</v>
      </c>
      <c r="J304" s="12" t="s">
        <v>413</v>
      </c>
      <c r="K304" s="36" t="s">
        <v>414</v>
      </c>
      <c r="L304" s="12" t="s">
        <v>415</v>
      </c>
      <c r="M304" s="37" t="s">
        <v>421</v>
      </c>
      <c r="O304" s="10" t="s">
        <v>60</v>
      </c>
      <c r="P304" s="10" t="s">
        <v>61</v>
      </c>
      <c r="S304" s="10">
        <v>21</v>
      </c>
      <c r="V304" s="10">
        <v>26</v>
      </c>
      <c r="W304" s="12">
        <v>43</v>
      </c>
      <c r="X304" s="10">
        <v>0</v>
      </c>
      <c r="AA304" s="10">
        <v>0</v>
      </c>
      <c r="AB304" s="10">
        <v>0</v>
      </c>
      <c r="AC304" s="10">
        <v>0</v>
      </c>
      <c r="AE304" s="10">
        <v>0</v>
      </c>
      <c r="AG304" s="14">
        <v>0</v>
      </c>
      <c r="AJ304" s="14">
        <v>0</v>
      </c>
      <c r="AK304" s="14">
        <v>0</v>
      </c>
      <c r="AL304" s="14">
        <v>0</v>
      </c>
      <c r="AM304" s="14">
        <v>0</v>
      </c>
      <c r="AO304" s="14">
        <v>0</v>
      </c>
      <c r="AP304" s="14"/>
      <c r="AQ304" s="14"/>
      <c r="AR304" s="14">
        <v>0</v>
      </c>
      <c r="AS304" s="14">
        <v>0</v>
      </c>
      <c r="AT304" s="14">
        <v>0</v>
      </c>
      <c r="AU304" s="14">
        <v>0</v>
      </c>
      <c r="AX304" s="38" t="s">
        <v>600</v>
      </c>
      <c r="AY304" s="38" t="s">
        <v>350</v>
      </c>
    </row>
    <row r="305" spans="1:51" x14ac:dyDescent="0.3">
      <c r="A305" s="34" t="s">
        <v>598</v>
      </c>
      <c r="B305" s="35" t="s">
        <v>599</v>
      </c>
      <c r="C305" s="8">
        <v>43.733333000000002</v>
      </c>
      <c r="D305" s="8">
        <v>4.1500000000000004</v>
      </c>
      <c r="E305" s="26">
        <v>15</v>
      </c>
      <c r="F305" t="s">
        <v>53</v>
      </c>
      <c r="G305" s="10" t="s">
        <v>54</v>
      </c>
      <c r="H305" s="11">
        <v>-30</v>
      </c>
      <c r="I305" s="11">
        <v>200</v>
      </c>
      <c r="J305" s="12" t="s">
        <v>413</v>
      </c>
      <c r="K305" s="36" t="s">
        <v>414</v>
      </c>
      <c r="L305" s="12" t="s">
        <v>415</v>
      </c>
      <c r="M305" s="37" t="s">
        <v>429</v>
      </c>
      <c r="N305" s="10" t="s">
        <v>430</v>
      </c>
      <c r="O305" s="10" t="s">
        <v>60</v>
      </c>
      <c r="P305" s="10" t="s">
        <v>60</v>
      </c>
      <c r="S305" s="10">
        <v>0</v>
      </c>
      <c r="V305" s="10">
        <v>0</v>
      </c>
      <c r="W305" s="12">
        <v>2</v>
      </c>
      <c r="X305" s="10">
        <v>0</v>
      </c>
      <c r="AA305" s="10">
        <v>0</v>
      </c>
      <c r="AB305" s="10">
        <v>0</v>
      </c>
      <c r="AC305" s="10">
        <v>0</v>
      </c>
      <c r="AE305" s="10">
        <v>0</v>
      </c>
      <c r="AG305" s="14">
        <v>0</v>
      </c>
      <c r="AJ305" s="14">
        <v>0</v>
      </c>
      <c r="AK305" s="14">
        <v>0</v>
      </c>
      <c r="AL305" s="14">
        <v>0</v>
      </c>
      <c r="AM305" s="14">
        <v>0</v>
      </c>
      <c r="AO305" s="14">
        <v>0</v>
      </c>
      <c r="AP305" s="14"/>
      <c r="AQ305" s="14"/>
      <c r="AR305" s="14">
        <v>0</v>
      </c>
      <c r="AS305" s="14">
        <v>0</v>
      </c>
      <c r="AT305" s="14">
        <v>0</v>
      </c>
      <c r="AU305" s="14">
        <v>0</v>
      </c>
      <c r="AX305" s="38" t="s">
        <v>601</v>
      </c>
      <c r="AY305" s="38" t="s">
        <v>350</v>
      </c>
    </row>
    <row r="306" spans="1:51" x14ac:dyDescent="0.3">
      <c r="A306" s="34" t="s">
        <v>598</v>
      </c>
      <c r="B306" s="35" t="s">
        <v>599</v>
      </c>
      <c r="C306" s="8">
        <v>43.733333000000002</v>
      </c>
      <c r="D306" s="8">
        <v>4.1500000000000004</v>
      </c>
      <c r="E306" s="26">
        <v>15</v>
      </c>
      <c r="F306" t="s">
        <v>53</v>
      </c>
      <c r="G306" s="10" t="s">
        <v>54</v>
      </c>
      <c r="H306" s="11">
        <v>-125</v>
      </c>
      <c r="I306" s="11">
        <v>-30</v>
      </c>
      <c r="J306" s="12" t="s">
        <v>413</v>
      </c>
      <c r="K306" s="36" t="s">
        <v>414</v>
      </c>
      <c r="L306" s="12" t="s">
        <v>449</v>
      </c>
      <c r="M306" s="37" t="s">
        <v>429</v>
      </c>
      <c r="N306" s="10" t="s">
        <v>430</v>
      </c>
      <c r="O306" s="10" t="s">
        <v>60</v>
      </c>
      <c r="P306" s="10" t="s">
        <v>60</v>
      </c>
      <c r="S306" s="10">
        <v>10</v>
      </c>
      <c r="V306" s="10">
        <v>1</v>
      </c>
      <c r="W306" s="12">
        <v>18</v>
      </c>
      <c r="X306" s="10">
        <v>0</v>
      </c>
      <c r="AA306" s="10">
        <v>0</v>
      </c>
      <c r="AB306" s="10">
        <v>0</v>
      </c>
      <c r="AC306" s="10">
        <v>0</v>
      </c>
      <c r="AE306" s="10">
        <v>0</v>
      </c>
      <c r="AG306" s="14">
        <v>0</v>
      </c>
      <c r="AJ306" s="14">
        <v>0</v>
      </c>
      <c r="AK306" s="14">
        <v>0</v>
      </c>
      <c r="AL306" s="14">
        <v>0</v>
      </c>
      <c r="AM306" s="14">
        <v>0</v>
      </c>
      <c r="AO306" s="14">
        <v>0</v>
      </c>
      <c r="AP306" s="14"/>
      <c r="AQ306" s="14"/>
      <c r="AR306" s="14">
        <v>0</v>
      </c>
      <c r="AS306" s="14">
        <v>0</v>
      </c>
      <c r="AT306" s="14">
        <v>0</v>
      </c>
      <c r="AU306" s="14">
        <v>0</v>
      </c>
      <c r="AX306" s="38" t="s">
        <v>601</v>
      </c>
      <c r="AY306" s="38" t="s">
        <v>350</v>
      </c>
    </row>
    <row r="307" spans="1:51" x14ac:dyDescent="0.3">
      <c r="A307" s="34" t="s">
        <v>412</v>
      </c>
      <c r="B307" s="35" t="s">
        <v>194</v>
      </c>
      <c r="C307" s="8">
        <v>43.316667000000002</v>
      </c>
      <c r="D307" s="8">
        <v>3.4666670000000002</v>
      </c>
      <c r="E307" s="9">
        <v>1</v>
      </c>
      <c r="F307" t="s">
        <v>53</v>
      </c>
      <c r="G307" s="10" t="s">
        <v>54</v>
      </c>
      <c r="H307" s="11">
        <v>200</v>
      </c>
      <c r="I307" s="11">
        <v>500</v>
      </c>
      <c r="J307" s="12" t="s">
        <v>602</v>
      </c>
      <c r="K307" s="36" t="s">
        <v>414</v>
      </c>
      <c r="L307" s="12" t="s">
        <v>603</v>
      </c>
      <c r="M307" s="37" t="s">
        <v>59</v>
      </c>
      <c r="O307" s="10" t="s">
        <v>60</v>
      </c>
      <c r="P307" s="10" t="s">
        <v>61</v>
      </c>
      <c r="S307" s="10">
        <v>0</v>
      </c>
      <c r="V307" s="10">
        <v>0</v>
      </c>
      <c r="W307" s="12">
        <v>1</v>
      </c>
      <c r="X307" s="10">
        <v>0</v>
      </c>
      <c r="AA307" s="10">
        <v>0</v>
      </c>
      <c r="AB307" s="10">
        <v>0</v>
      </c>
      <c r="AC307" s="10">
        <v>0</v>
      </c>
      <c r="AE307" s="10">
        <v>0</v>
      </c>
      <c r="AG307" s="14">
        <v>0</v>
      </c>
      <c r="AJ307" s="14">
        <v>0</v>
      </c>
      <c r="AK307" s="14">
        <v>0</v>
      </c>
      <c r="AL307" s="14">
        <v>0</v>
      </c>
      <c r="AM307" s="14">
        <v>0</v>
      </c>
      <c r="AO307" s="14">
        <v>0</v>
      </c>
      <c r="AP307" s="14"/>
      <c r="AQ307" s="14"/>
      <c r="AR307" s="14">
        <v>0</v>
      </c>
      <c r="AS307" s="14">
        <v>0</v>
      </c>
      <c r="AT307" s="14">
        <v>0</v>
      </c>
      <c r="AU307" s="14">
        <v>0</v>
      </c>
      <c r="AX307" s="38" t="s">
        <v>416</v>
      </c>
      <c r="AY307" s="38" t="s">
        <v>68</v>
      </c>
    </row>
    <row r="308" spans="1:51" x14ac:dyDescent="0.3">
      <c r="A308" s="42" t="s">
        <v>604</v>
      </c>
      <c r="B308" s="42" t="s">
        <v>605</v>
      </c>
      <c r="C308" s="8">
        <v>43.68</v>
      </c>
      <c r="D308" s="8">
        <v>4.2</v>
      </c>
      <c r="E308" s="9">
        <v>13</v>
      </c>
      <c r="F308" t="s">
        <v>53</v>
      </c>
      <c r="G308" s="10" t="s">
        <v>54</v>
      </c>
      <c r="H308" s="11">
        <v>200</v>
      </c>
      <c r="I308" s="11">
        <v>500</v>
      </c>
      <c r="J308" s="12" t="s">
        <v>602</v>
      </c>
      <c r="K308" s="36" t="s">
        <v>414</v>
      </c>
      <c r="L308" s="10" t="s">
        <v>603</v>
      </c>
      <c r="M308" s="40" t="s">
        <v>59</v>
      </c>
      <c r="O308" s="10" t="s">
        <v>60</v>
      </c>
      <c r="P308" s="10" t="s">
        <v>61</v>
      </c>
      <c r="S308" s="10">
        <v>3</v>
      </c>
      <c r="V308" s="10">
        <v>0</v>
      </c>
      <c r="W308" s="12">
        <v>1</v>
      </c>
      <c r="X308" s="10">
        <v>0</v>
      </c>
      <c r="AA308" s="10">
        <v>0</v>
      </c>
      <c r="AB308" s="10">
        <v>0</v>
      </c>
      <c r="AC308" s="10">
        <v>0</v>
      </c>
      <c r="AE308" s="14">
        <v>0</v>
      </c>
      <c r="AG308" s="14">
        <v>0</v>
      </c>
      <c r="AJ308" s="14">
        <v>0</v>
      </c>
      <c r="AK308" s="14">
        <v>0</v>
      </c>
      <c r="AL308" s="14">
        <v>0</v>
      </c>
      <c r="AM308" s="14">
        <v>0</v>
      </c>
      <c r="AO308" s="14">
        <v>0</v>
      </c>
      <c r="AP308" s="14"/>
      <c r="AQ308" s="14"/>
      <c r="AR308" s="14">
        <v>0</v>
      </c>
      <c r="AS308" s="14">
        <v>0</v>
      </c>
      <c r="AT308" s="14">
        <v>0</v>
      </c>
      <c r="AU308" s="14">
        <v>0</v>
      </c>
      <c r="AX308" s="16" t="s">
        <v>457</v>
      </c>
      <c r="AY308" s="16" t="s">
        <v>85</v>
      </c>
    </row>
    <row r="309" spans="1:51" ht="43.2" x14ac:dyDescent="0.3">
      <c r="A309" s="16" t="s">
        <v>606</v>
      </c>
      <c r="B309" s="38" t="s">
        <v>607</v>
      </c>
      <c r="C309" s="25">
        <v>43.583333000000003</v>
      </c>
      <c r="D309" s="25">
        <v>7.1166669999999996</v>
      </c>
      <c r="E309" s="26">
        <v>2</v>
      </c>
      <c r="F309" s="15" t="s">
        <v>53</v>
      </c>
      <c r="G309" s="14" t="s">
        <v>54</v>
      </c>
      <c r="H309" s="28">
        <v>200</v>
      </c>
      <c r="I309" s="28">
        <v>500</v>
      </c>
      <c r="J309" s="18" t="s">
        <v>602</v>
      </c>
      <c r="K309" s="41" t="s">
        <v>414</v>
      </c>
      <c r="L309" s="18" t="s">
        <v>603</v>
      </c>
      <c r="M309" s="18" t="s">
        <v>421</v>
      </c>
      <c r="N309" s="14" t="s">
        <v>422</v>
      </c>
      <c r="O309" s="14" t="s">
        <v>60</v>
      </c>
      <c r="P309" s="14" t="s">
        <v>61</v>
      </c>
      <c r="Q309" s="15"/>
      <c r="R309" s="15"/>
      <c r="S309" s="14">
        <v>2</v>
      </c>
      <c r="T309" s="15"/>
      <c r="U309" s="15"/>
      <c r="V309" s="14">
        <v>0</v>
      </c>
      <c r="W309" s="18">
        <v>4</v>
      </c>
      <c r="X309" s="14">
        <v>0</v>
      </c>
      <c r="Y309" s="14"/>
      <c r="Z309" s="14"/>
      <c r="AA309" s="14">
        <v>0</v>
      </c>
      <c r="AB309" s="14">
        <v>0</v>
      </c>
      <c r="AC309" s="14">
        <v>0</v>
      </c>
      <c r="AD309" s="14"/>
      <c r="AE309" s="14">
        <v>0</v>
      </c>
      <c r="AF309" s="14"/>
      <c r="AG309" s="14">
        <v>0</v>
      </c>
      <c r="AH309" s="14"/>
      <c r="AI309" s="14"/>
      <c r="AJ309" s="14">
        <v>0</v>
      </c>
      <c r="AK309" s="14">
        <v>0</v>
      </c>
      <c r="AL309" s="14">
        <v>0</v>
      </c>
      <c r="AM309" s="14">
        <v>0</v>
      </c>
      <c r="AO309" s="14">
        <v>0</v>
      </c>
      <c r="AP309" s="14"/>
      <c r="AQ309" s="14"/>
      <c r="AR309" s="14">
        <v>0</v>
      </c>
      <c r="AS309" s="14">
        <v>0</v>
      </c>
      <c r="AT309" s="14">
        <v>0</v>
      </c>
      <c r="AU309" s="14">
        <v>0</v>
      </c>
      <c r="AW309" s="15"/>
      <c r="AX309" s="38" t="s">
        <v>608</v>
      </c>
      <c r="AY309" s="38" t="s">
        <v>609</v>
      </c>
    </row>
    <row r="310" spans="1:51" x14ac:dyDescent="0.3">
      <c r="A310" s="42" t="s">
        <v>440</v>
      </c>
      <c r="B310" s="42" t="s">
        <v>441</v>
      </c>
      <c r="C310" s="8">
        <v>43.466667000000001</v>
      </c>
      <c r="D310" s="8">
        <v>5.1833330000000002</v>
      </c>
      <c r="E310" s="9">
        <v>146</v>
      </c>
      <c r="F310" t="s">
        <v>53</v>
      </c>
      <c r="G310" s="10" t="s">
        <v>54</v>
      </c>
      <c r="H310" s="11">
        <v>200</v>
      </c>
      <c r="I310" s="11">
        <v>500</v>
      </c>
      <c r="J310" s="12" t="s">
        <v>602</v>
      </c>
      <c r="K310" s="36" t="s">
        <v>414</v>
      </c>
      <c r="L310" s="10" t="s">
        <v>603</v>
      </c>
      <c r="M310" s="40" t="s">
        <v>59</v>
      </c>
      <c r="O310" s="10" t="s">
        <v>60</v>
      </c>
      <c r="P310" s="10" t="s">
        <v>61</v>
      </c>
      <c r="S310" s="10">
        <v>18</v>
      </c>
      <c r="V310" s="10">
        <v>0</v>
      </c>
      <c r="W310" s="10">
        <v>2</v>
      </c>
      <c r="X310" s="10">
        <v>0</v>
      </c>
      <c r="AA310" s="10">
        <v>0</v>
      </c>
      <c r="AB310" s="10">
        <v>0</v>
      </c>
      <c r="AC310" s="10">
        <v>0</v>
      </c>
      <c r="AE310" s="10">
        <v>0</v>
      </c>
      <c r="AG310" s="14">
        <v>0</v>
      </c>
      <c r="AJ310" s="14">
        <v>0</v>
      </c>
      <c r="AK310" s="14">
        <v>0</v>
      </c>
      <c r="AL310" s="14">
        <v>0</v>
      </c>
      <c r="AM310" s="14">
        <v>0</v>
      </c>
      <c r="AO310" s="14">
        <v>0</v>
      </c>
      <c r="AP310" s="14"/>
      <c r="AQ310" s="14"/>
      <c r="AR310" s="14">
        <v>0</v>
      </c>
      <c r="AS310" s="14">
        <v>0</v>
      </c>
      <c r="AT310" s="14">
        <v>0</v>
      </c>
      <c r="AU310" s="14">
        <v>0</v>
      </c>
      <c r="AX310" s="15" t="s">
        <v>442</v>
      </c>
      <c r="AY310" s="15" t="s">
        <v>350</v>
      </c>
    </row>
    <row r="311" spans="1:51" x14ac:dyDescent="0.3">
      <c r="A311" s="43" t="s">
        <v>610</v>
      </c>
      <c r="B311" s="48" t="s">
        <v>83</v>
      </c>
      <c r="C311" s="8">
        <v>42.733333000000002</v>
      </c>
      <c r="D311" s="8">
        <v>2.5666669999999998</v>
      </c>
      <c r="E311" s="9">
        <v>129</v>
      </c>
      <c r="F311" t="s">
        <v>53</v>
      </c>
      <c r="G311" s="10" t="s">
        <v>54</v>
      </c>
      <c r="H311" s="11">
        <v>200</v>
      </c>
      <c r="I311" s="11">
        <v>500</v>
      </c>
      <c r="J311" s="12" t="s">
        <v>602</v>
      </c>
      <c r="K311" s="36" t="s">
        <v>414</v>
      </c>
      <c r="L311" s="10" t="s">
        <v>603</v>
      </c>
      <c r="M311" s="18" t="s">
        <v>59</v>
      </c>
      <c r="O311" s="10" t="s">
        <v>60</v>
      </c>
      <c r="P311" s="10" t="s">
        <v>61</v>
      </c>
      <c r="S311" s="10">
        <v>0</v>
      </c>
      <c r="V311" s="10">
        <v>0</v>
      </c>
      <c r="W311" s="12">
        <v>2</v>
      </c>
      <c r="X311" s="10">
        <v>0</v>
      </c>
      <c r="AA311" s="10">
        <v>0</v>
      </c>
      <c r="AB311" s="10">
        <v>0</v>
      </c>
      <c r="AC311" s="10">
        <v>0</v>
      </c>
      <c r="AE311" s="10">
        <v>0</v>
      </c>
      <c r="AG311" s="14">
        <v>0</v>
      </c>
      <c r="AJ311" s="14">
        <v>0</v>
      </c>
      <c r="AK311" s="14">
        <v>0</v>
      </c>
      <c r="AL311" s="14">
        <v>0</v>
      </c>
      <c r="AM311" s="14">
        <v>0</v>
      </c>
      <c r="AO311" s="14">
        <v>0</v>
      </c>
      <c r="AP311" s="14"/>
      <c r="AQ311" s="14"/>
      <c r="AR311" s="14">
        <v>0</v>
      </c>
      <c r="AS311" s="14">
        <v>0</v>
      </c>
      <c r="AT311" s="14">
        <v>0</v>
      </c>
      <c r="AU311" s="14">
        <v>0</v>
      </c>
      <c r="AX311" s="16" t="s">
        <v>457</v>
      </c>
      <c r="AY311" s="16" t="s">
        <v>85</v>
      </c>
    </row>
    <row r="312" spans="1:51" x14ac:dyDescent="0.3">
      <c r="A312" s="34" t="s">
        <v>456</v>
      </c>
      <c r="B312" s="34" t="s">
        <v>83</v>
      </c>
      <c r="C312" s="8">
        <v>42.733333000000002</v>
      </c>
      <c r="D312" s="8">
        <v>2.5666669999999998</v>
      </c>
      <c r="E312" s="9">
        <v>129</v>
      </c>
      <c r="F312" t="s">
        <v>53</v>
      </c>
      <c r="G312" s="10" t="s">
        <v>54</v>
      </c>
      <c r="H312" s="11">
        <v>200</v>
      </c>
      <c r="I312" s="11">
        <v>500</v>
      </c>
      <c r="J312" s="12" t="s">
        <v>602</v>
      </c>
      <c r="K312" s="36" t="s">
        <v>414</v>
      </c>
      <c r="L312" s="10" t="s">
        <v>603</v>
      </c>
      <c r="M312" s="37" t="s">
        <v>59</v>
      </c>
      <c r="O312" s="10" t="s">
        <v>60</v>
      </c>
      <c r="P312" s="10" t="s">
        <v>61</v>
      </c>
      <c r="S312" s="10">
        <v>0</v>
      </c>
      <c r="V312" s="10">
        <v>3</v>
      </c>
      <c r="W312" s="12">
        <v>1</v>
      </c>
      <c r="X312" s="10">
        <v>0</v>
      </c>
      <c r="AA312" s="10">
        <v>0</v>
      </c>
      <c r="AB312" s="10">
        <v>0</v>
      </c>
      <c r="AC312" s="10">
        <v>0</v>
      </c>
      <c r="AE312" s="10">
        <v>0</v>
      </c>
      <c r="AG312" s="14">
        <v>0</v>
      </c>
      <c r="AJ312" s="14">
        <v>0</v>
      </c>
      <c r="AK312" s="14">
        <v>0</v>
      </c>
      <c r="AL312" s="14">
        <v>0</v>
      </c>
      <c r="AM312" s="14">
        <v>0</v>
      </c>
      <c r="AO312" s="14">
        <v>0</v>
      </c>
      <c r="AP312" s="14"/>
      <c r="AQ312" s="14"/>
      <c r="AR312" s="14">
        <v>0</v>
      </c>
      <c r="AS312" s="14">
        <v>0</v>
      </c>
      <c r="AT312" s="14">
        <v>0</v>
      </c>
      <c r="AU312" s="14">
        <v>0</v>
      </c>
      <c r="AX312" s="16" t="s">
        <v>457</v>
      </c>
      <c r="AY312" s="16" t="s">
        <v>85</v>
      </c>
    </row>
    <row r="313" spans="1:51" x14ac:dyDescent="0.3">
      <c r="A313" s="34" t="s">
        <v>611</v>
      </c>
      <c r="B313" s="34" t="s">
        <v>83</v>
      </c>
      <c r="C313" s="8">
        <v>42.733333000000002</v>
      </c>
      <c r="D313" s="8">
        <v>2.5666669999999998</v>
      </c>
      <c r="E313" s="9">
        <v>129</v>
      </c>
      <c r="F313" t="s">
        <v>53</v>
      </c>
      <c r="G313" s="10" t="s">
        <v>54</v>
      </c>
      <c r="H313" s="11">
        <v>200</v>
      </c>
      <c r="I313" s="11">
        <v>500</v>
      </c>
      <c r="J313" s="12" t="s">
        <v>602</v>
      </c>
      <c r="K313" s="36" t="s">
        <v>414</v>
      </c>
      <c r="L313" s="10" t="s">
        <v>603</v>
      </c>
      <c r="M313" s="37" t="s">
        <v>59</v>
      </c>
      <c r="O313" s="10" t="s">
        <v>60</v>
      </c>
      <c r="P313" s="10" t="s">
        <v>60</v>
      </c>
      <c r="S313" s="10">
        <v>0</v>
      </c>
      <c r="V313" s="10">
        <v>0</v>
      </c>
      <c r="W313" s="12">
        <v>1</v>
      </c>
      <c r="X313" s="10">
        <v>0</v>
      </c>
      <c r="AA313" s="10">
        <v>0</v>
      </c>
      <c r="AB313" s="10">
        <v>0</v>
      </c>
      <c r="AC313" s="10">
        <v>0</v>
      </c>
      <c r="AE313" s="14">
        <v>0</v>
      </c>
      <c r="AG313" s="14">
        <v>0</v>
      </c>
      <c r="AJ313" s="14">
        <v>0</v>
      </c>
      <c r="AK313" s="14">
        <v>0</v>
      </c>
      <c r="AL313" s="14">
        <v>0</v>
      </c>
      <c r="AM313" s="14">
        <v>0</v>
      </c>
      <c r="AO313" s="14">
        <v>0</v>
      </c>
      <c r="AP313" s="14"/>
      <c r="AQ313" s="14"/>
      <c r="AR313" s="14">
        <v>0</v>
      </c>
      <c r="AS313" s="14">
        <v>0</v>
      </c>
      <c r="AT313" s="14">
        <v>0</v>
      </c>
      <c r="AU313" s="14">
        <v>0</v>
      </c>
      <c r="AX313" s="16" t="s">
        <v>457</v>
      </c>
      <c r="AY313" s="16" t="s">
        <v>85</v>
      </c>
    </row>
    <row r="314" spans="1:51" x14ac:dyDescent="0.3">
      <c r="A314" s="34" t="s">
        <v>459</v>
      </c>
      <c r="B314" s="35" t="s">
        <v>215</v>
      </c>
      <c r="C314" s="8">
        <v>43.216667000000001</v>
      </c>
      <c r="D314" s="8">
        <v>2.35</v>
      </c>
      <c r="E314" s="9">
        <v>129</v>
      </c>
      <c r="F314" t="s">
        <v>53</v>
      </c>
      <c r="G314" s="10" t="s">
        <v>54</v>
      </c>
      <c r="H314" s="11">
        <v>200</v>
      </c>
      <c r="I314" s="11">
        <v>500</v>
      </c>
      <c r="J314" s="12" t="s">
        <v>602</v>
      </c>
      <c r="K314" s="36" t="s">
        <v>414</v>
      </c>
      <c r="L314" s="12" t="s">
        <v>603</v>
      </c>
      <c r="M314" s="44" t="s">
        <v>59</v>
      </c>
      <c r="O314" s="10" t="s">
        <v>60</v>
      </c>
      <c r="P314" s="10" t="s">
        <v>60</v>
      </c>
      <c r="S314" s="10">
        <v>1</v>
      </c>
      <c r="V314" s="10">
        <v>0</v>
      </c>
      <c r="W314" s="45">
        <v>2</v>
      </c>
      <c r="X314" s="10">
        <v>0</v>
      </c>
      <c r="AA314" s="10">
        <v>0</v>
      </c>
      <c r="AB314" s="10">
        <v>0</v>
      </c>
      <c r="AC314" s="10">
        <v>0</v>
      </c>
      <c r="AE314" s="10">
        <v>0</v>
      </c>
      <c r="AG314" s="14">
        <v>0</v>
      </c>
      <c r="AJ314" s="14">
        <v>0</v>
      </c>
      <c r="AK314" s="14">
        <v>0</v>
      </c>
      <c r="AL314" s="14">
        <v>0</v>
      </c>
      <c r="AM314" s="14">
        <v>0</v>
      </c>
      <c r="AO314" s="14">
        <v>0</v>
      </c>
      <c r="AP314" s="14"/>
      <c r="AQ314" s="14"/>
      <c r="AR314" s="14">
        <v>0</v>
      </c>
      <c r="AS314" s="14">
        <v>0</v>
      </c>
      <c r="AT314" s="14">
        <v>0</v>
      </c>
      <c r="AU314" s="14">
        <v>0</v>
      </c>
      <c r="AX314" s="38" t="s">
        <v>460</v>
      </c>
      <c r="AY314" s="38" t="s">
        <v>131</v>
      </c>
    </row>
    <row r="315" spans="1:51" x14ac:dyDescent="0.3">
      <c r="A315" s="34" t="s">
        <v>461</v>
      </c>
      <c r="B315" s="35" t="s">
        <v>462</v>
      </c>
      <c r="C315" s="8">
        <v>43.966667000000001</v>
      </c>
      <c r="D315" s="8">
        <v>4.55</v>
      </c>
      <c r="E315" s="9">
        <v>150</v>
      </c>
      <c r="F315" t="s">
        <v>53</v>
      </c>
      <c r="G315" s="10" t="s">
        <v>54</v>
      </c>
      <c r="H315" s="11">
        <v>200</v>
      </c>
      <c r="I315" s="11">
        <v>500</v>
      </c>
      <c r="J315" s="12" t="s">
        <v>602</v>
      </c>
      <c r="K315" s="36" t="s">
        <v>414</v>
      </c>
      <c r="L315" s="10" t="s">
        <v>603</v>
      </c>
      <c r="M315" s="37" t="s">
        <v>59</v>
      </c>
      <c r="O315" s="10" t="s">
        <v>60</v>
      </c>
      <c r="P315" s="10" t="s">
        <v>61</v>
      </c>
      <c r="S315" s="10">
        <v>1</v>
      </c>
      <c r="V315" s="10">
        <v>2</v>
      </c>
      <c r="W315" s="12">
        <v>9</v>
      </c>
      <c r="X315" s="10">
        <v>0</v>
      </c>
      <c r="AA315" s="10">
        <v>0</v>
      </c>
      <c r="AB315" s="10">
        <v>0</v>
      </c>
      <c r="AC315" s="10">
        <v>0</v>
      </c>
      <c r="AE315" s="10">
        <v>0</v>
      </c>
      <c r="AG315" s="14">
        <v>0</v>
      </c>
      <c r="AJ315" s="14">
        <v>0</v>
      </c>
      <c r="AK315" s="14">
        <v>0</v>
      </c>
      <c r="AL315" s="14">
        <v>0</v>
      </c>
      <c r="AM315" s="14">
        <v>0</v>
      </c>
      <c r="AO315" s="14">
        <v>0</v>
      </c>
      <c r="AP315" s="14"/>
      <c r="AQ315" s="14"/>
      <c r="AR315" s="14">
        <v>0</v>
      </c>
      <c r="AS315" s="14">
        <v>0</v>
      </c>
      <c r="AT315" s="14">
        <v>0</v>
      </c>
      <c r="AU315" s="14">
        <v>0</v>
      </c>
      <c r="AX315" s="38" t="s">
        <v>463</v>
      </c>
      <c r="AY315" s="38" t="s">
        <v>350</v>
      </c>
    </row>
    <row r="316" spans="1:51" x14ac:dyDescent="0.3">
      <c r="A316" s="34" t="s">
        <v>612</v>
      </c>
      <c r="B316" s="35" t="s">
        <v>613</v>
      </c>
      <c r="C316" s="8">
        <v>44.116667</v>
      </c>
      <c r="D316" s="8">
        <v>4.516667</v>
      </c>
      <c r="E316" s="9">
        <v>110</v>
      </c>
      <c r="F316" t="s">
        <v>53</v>
      </c>
      <c r="G316" s="10" t="s">
        <v>54</v>
      </c>
      <c r="H316" s="11">
        <v>-30</v>
      </c>
      <c r="I316" s="11">
        <v>200</v>
      </c>
      <c r="J316" s="12" t="s">
        <v>602</v>
      </c>
      <c r="K316" s="36" t="s">
        <v>414</v>
      </c>
      <c r="L316" s="12" t="s">
        <v>415</v>
      </c>
      <c r="M316" s="37" t="s">
        <v>59</v>
      </c>
      <c r="N316" s="10" t="s">
        <v>444</v>
      </c>
      <c r="O316" s="10" t="s">
        <v>60</v>
      </c>
      <c r="P316" s="10" t="s">
        <v>61</v>
      </c>
      <c r="S316" s="10">
        <v>2</v>
      </c>
      <c r="V316" s="10">
        <v>1</v>
      </c>
      <c r="W316" s="12">
        <v>1</v>
      </c>
      <c r="X316" s="10">
        <v>0</v>
      </c>
      <c r="AA316" s="10">
        <v>0</v>
      </c>
      <c r="AB316" s="10">
        <v>0</v>
      </c>
      <c r="AC316" s="10">
        <v>0</v>
      </c>
      <c r="AE316" s="14">
        <v>0</v>
      </c>
      <c r="AG316" s="14">
        <v>0</v>
      </c>
      <c r="AJ316" s="14">
        <v>0</v>
      </c>
      <c r="AK316" s="14">
        <v>0</v>
      </c>
      <c r="AL316" s="14">
        <v>0</v>
      </c>
      <c r="AM316" s="14">
        <v>0</v>
      </c>
      <c r="AO316" s="14">
        <v>0</v>
      </c>
      <c r="AP316" s="14"/>
      <c r="AQ316" s="14"/>
      <c r="AR316" s="14">
        <v>0</v>
      </c>
      <c r="AS316" s="14">
        <v>0</v>
      </c>
      <c r="AT316" s="14">
        <v>0</v>
      </c>
      <c r="AU316" s="14">
        <v>0</v>
      </c>
      <c r="AX316" s="38" t="s">
        <v>416</v>
      </c>
      <c r="AY316" s="38" t="s">
        <v>68</v>
      </c>
    </row>
    <row r="317" spans="1:51" x14ac:dyDescent="0.3">
      <c r="A317" s="34" t="s">
        <v>614</v>
      </c>
      <c r="B317" s="34" t="s">
        <v>469</v>
      </c>
      <c r="C317" s="8">
        <v>42.483333000000002</v>
      </c>
      <c r="D317" s="8">
        <v>2.75</v>
      </c>
      <c r="E317" s="9">
        <v>154</v>
      </c>
      <c r="F317" t="s">
        <v>53</v>
      </c>
      <c r="G317" s="10" t="s">
        <v>54</v>
      </c>
      <c r="H317" s="11">
        <v>200</v>
      </c>
      <c r="I317" s="11">
        <v>500</v>
      </c>
      <c r="J317" s="12" t="s">
        <v>602</v>
      </c>
      <c r="K317" s="36" t="s">
        <v>414</v>
      </c>
      <c r="L317" s="10" t="s">
        <v>603</v>
      </c>
      <c r="M317" s="37" t="s">
        <v>59</v>
      </c>
      <c r="O317" s="10" t="s">
        <v>60</v>
      </c>
      <c r="P317" s="10" t="s">
        <v>61</v>
      </c>
      <c r="S317" s="10">
        <v>2</v>
      </c>
      <c r="V317" s="10">
        <v>0</v>
      </c>
      <c r="W317" s="12">
        <v>2</v>
      </c>
      <c r="X317" s="10">
        <v>0</v>
      </c>
      <c r="AA317" s="10">
        <v>0</v>
      </c>
      <c r="AB317" s="10">
        <v>0</v>
      </c>
      <c r="AC317" s="10">
        <v>0</v>
      </c>
      <c r="AE317" s="10">
        <v>0</v>
      </c>
      <c r="AG317" s="14">
        <v>0</v>
      </c>
      <c r="AJ317" s="14">
        <v>0</v>
      </c>
      <c r="AK317" s="14">
        <v>0</v>
      </c>
      <c r="AL317" s="14">
        <v>0</v>
      </c>
      <c r="AM317" s="14">
        <v>0</v>
      </c>
      <c r="AO317" s="14">
        <v>0</v>
      </c>
      <c r="AP317" s="14"/>
      <c r="AQ317" s="14"/>
      <c r="AR317" s="14">
        <v>0</v>
      </c>
      <c r="AS317" s="14">
        <v>0</v>
      </c>
      <c r="AT317" s="14">
        <v>0</v>
      </c>
      <c r="AU317" s="14">
        <v>0</v>
      </c>
      <c r="AX317" s="16" t="s">
        <v>472</v>
      </c>
      <c r="AY317" s="16" t="s">
        <v>85</v>
      </c>
    </row>
    <row r="318" spans="1:51" ht="28.8" x14ac:dyDescent="0.3">
      <c r="A318" s="16" t="s">
        <v>615</v>
      </c>
      <c r="B318" s="38" t="s">
        <v>616</v>
      </c>
      <c r="C318" s="25">
        <v>42.52</v>
      </c>
      <c r="D318" s="25">
        <v>3.08</v>
      </c>
      <c r="E318" s="26">
        <v>231</v>
      </c>
      <c r="F318" s="15" t="s">
        <v>53</v>
      </c>
      <c r="G318" s="14" t="s">
        <v>54</v>
      </c>
      <c r="H318" s="28">
        <v>500</v>
      </c>
      <c r="I318" s="28">
        <v>600</v>
      </c>
      <c r="J318" s="18" t="s">
        <v>602</v>
      </c>
      <c r="K318" s="41" t="s">
        <v>414</v>
      </c>
      <c r="L318" s="18" t="s">
        <v>617</v>
      </c>
      <c r="M318" s="18" t="s">
        <v>59</v>
      </c>
      <c r="N318" s="14"/>
      <c r="O318" s="14" t="s">
        <v>60</v>
      </c>
      <c r="P318" s="14" t="s">
        <v>61</v>
      </c>
      <c r="Q318" s="15"/>
      <c r="R318" s="15"/>
      <c r="S318" s="14">
        <v>3775</v>
      </c>
      <c r="T318" s="15"/>
      <c r="U318" s="15"/>
      <c r="V318" s="10">
        <v>0</v>
      </c>
      <c r="W318" s="18">
        <v>2</v>
      </c>
      <c r="X318" s="14">
        <v>1</v>
      </c>
      <c r="Y318" s="14"/>
      <c r="Z318" s="14"/>
      <c r="AA318" s="14">
        <v>101</v>
      </c>
      <c r="AB318" s="14">
        <v>0</v>
      </c>
      <c r="AC318" s="14">
        <v>2</v>
      </c>
      <c r="AD318" s="14"/>
      <c r="AE318" s="14">
        <v>2</v>
      </c>
      <c r="AF318" s="14" t="s">
        <v>500</v>
      </c>
      <c r="AG318" s="14">
        <v>0</v>
      </c>
      <c r="AH318" s="14"/>
      <c r="AI318" s="14"/>
      <c r="AJ318" s="14">
        <v>0</v>
      </c>
      <c r="AK318" s="14">
        <v>0</v>
      </c>
      <c r="AL318" s="14">
        <v>0</v>
      </c>
      <c r="AM318" s="14">
        <v>0</v>
      </c>
      <c r="AN318" s="14"/>
      <c r="AO318" s="14">
        <v>0</v>
      </c>
      <c r="AP318" s="14"/>
      <c r="AQ318" s="14"/>
      <c r="AR318" s="14">
        <v>0</v>
      </c>
      <c r="AS318" s="14">
        <v>0</v>
      </c>
      <c r="AT318" s="14">
        <v>0</v>
      </c>
      <c r="AU318" s="14">
        <v>0</v>
      </c>
      <c r="AV318" s="14"/>
      <c r="AW318" s="15"/>
      <c r="AX318" s="38" t="s">
        <v>559</v>
      </c>
      <c r="AY318" s="38" t="s">
        <v>85</v>
      </c>
    </row>
    <row r="319" spans="1:51" ht="28.8" x14ac:dyDescent="0.3">
      <c r="A319" s="16" t="s">
        <v>618</v>
      </c>
      <c r="B319" s="38" t="s">
        <v>619</v>
      </c>
      <c r="C319" s="25">
        <v>42.633333</v>
      </c>
      <c r="D319" s="25">
        <v>2.95</v>
      </c>
      <c r="E319" s="26">
        <v>28</v>
      </c>
      <c r="F319" s="15" t="s">
        <v>53</v>
      </c>
      <c r="G319" s="14" t="s">
        <v>54</v>
      </c>
      <c r="H319" s="28">
        <v>200</v>
      </c>
      <c r="I319" s="28">
        <v>500</v>
      </c>
      <c r="J319" s="18" t="s">
        <v>602</v>
      </c>
      <c r="K319" s="41" t="s">
        <v>414</v>
      </c>
      <c r="L319" s="18" t="s">
        <v>603</v>
      </c>
      <c r="M319" s="18" t="s">
        <v>59</v>
      </c>
      <c r="N319" s="14"/>
      <c r="O319" s="14" t="s">
        <v>60</v>
      </c>
      <c r="P319" s="14" t="s">
        <v>61</v>
      </c>
      <c r="Q319" s="15"/>
      <c r="R319" s="15"/>
      <c r="S319" s="14">
        <v>35</v>
      </c>
      <c r="T319" s="15"/>
      <c r="U319" s="15"/>
      <c r="V319" s="14">
        <v>0</v>
      </c>
      <c r="W319" s="18">
        <v>1</v>
      </c>
      <c r="X319" s="14">
        <v>0</v>
      </c>
      <c r="Y319" s="14"/>
      <c r="Z319" s="14"/>
      <c r="AA319" s="14">
        <v>0</v>
      </c>
      <c r="AB319" s="14">
        <v>0</v>
      </c>
      <c r="AC319" s="14">
        <v>0</v>
      </c>
      <c r="AD319" s="14"/>
      <c r="AE319" s="14">
        <v>0</v>
      </c>
      <c r="AF319" s="14"/>
      <c r="AG319" s="14">
        <v>0</v>
      </c>
      <c r="AH319" s="14"/>
      <c r="AI319" s="14"/>
      <c r="AJ319" s="14">
        <v>0</v>
      </c>
      <c r="AK319" s="14">
        <v>0</v>
      </c>
      <c r="AL319" s="14">
        <v>0</v>
      </c>
      <c r="AM319" s="14">
        <v>0</v>
      </c>
      <c r="AN319" s="14"/>
      <c r="AO319" s="14">
        <v>0</v>
      </c>
      <c r="AP319" s="14"/>
      <c r="AQ319" s="14"/>
      <c r="AR319" s="14">
        <v>0</v>
      </c>
      <c r="AS319" s="14">
        <v>0</v>
      </c>
      <c r="AT319" s="14">
        <v>0</v>
      </c>
      <c r="AU319" s="14">
        <v>0</v>
      </c>
      <c r="AV319" s="14"/>
      <c r="AW319" s="15"/>
      <c r="AX319" s="38" t="s">
        <v>559</v>
      </c>
      <c r="AY319" s="38" t="s">
        <v>620</v>
      </c>
    </row>
    <row r="320" spans="1:51" x14ac:dyDescent="0.3">
      <c r="A320" s="34" t="s">
        <v>473</v>
      </c>
      <c r="B320" s="35" t="s">
        <v>326</v>
      </c>
      <c r="C320" s="8">
        <v>44.733566590000002</v>
      </c>
      <c r="D320" s="8">
        <v>5.0221758410000001</v>
      </c>
      <c r="E320" s="9">
        <v>248</v>
      </c>
      <c r="F320" t="s">
        <v>53</v>
      </c>
      <c r="G320" s="10" t="s">
        <v>54</v>
      </c>
      <c r="H320" s="11">
        <v>200</v>
      </c>
      <c r="I320" s="11">
        <v>500</v>
      </c>
      <c r="J320" s="12" t="s">
        <v>602</v>
      </c>
      <c r="K320" s="36" t="s">
        <v>414</v>
      </c>
      <c r="L320" s="12" t="s">
        <v>603</v>
      </c>
      <c r="M320" s="37" t="s">
        <v>59</v>
      </c>
      <c r="N320" s="10" t="s">
        <v>241</v>
      </c>
      <c r="O320" s="10" t="s">
        <v>60</v>
      </c>
      <c r="P320" s="10" t="s">
        <v>61</v>
      </c>
      <c r="S320" s="10">
        <v>120513</v>
      </c>
      <c r="V320" s="10">
        <v>2741</v>
      </c>
      <c r="W320" s="12">
        <v>6</v>
      </c>
      <c r="X320" s="10">
        <v>1</v>
      </c>
      <c r="AA320" s="10">
        <v>3</v>
      </c>
      <c r="AB320" s="10">
        <v>0</v>
      </c>
      <c r="AC320" s="10">
        <v>1</v>
      </c>
      <c r="AE320" s="10">
        <v>0</v>
      </c>
      <c r="AF320" s="10" t="s">
        <v>495</v>
      </c>
      <c r="AG320" s="14">
        <v>0</v>
      </c>
      <c r="AJ320" s="14">
        <v>0</v>
      </c>
      <c r="AK320" s="14">
        <v>0</v>
      </c>
      <c r="AL320" s="14">
        <v>0</v>
      </c>
      <c r="AM320" s="14">
        <v>0</v>
      </c>
      <c r="AO320" s="14">
        <v>0</v>
      </c>
      <c r="AP320" s="14"/>
      <c r="AQ320" s="14"/>
      <c r="AR320" s="14">
        <v>0</v>
      </c>
      <c r="AS320" s="14">
        <v>0</v>
      </c>
      <c r="AT320" s="14">
        <v>0</v>
      </c>
      <c r="AU320" s="14">
        <v>0</v>
      </c>
      <c r="AX320" s="16" t="s">
        <v>416</v>
      </c>
      <c r="AY320" s="16" t="s">
        <v>68</v>
      </c>
    </row>
    <row r="321" spans="1:51" x14ac:dyDescent="0.3">
      <c r="A321" s="34" t="s">
        <v>621</v>
      </c>
      <c r="B321" s="34" t="s">
        <v>330</v>
      </c>
      <c r="C321" s="8">
        <v>42.6</v>
      </c>
      <c r="D321" s="8">
        <v>2.9666670000000002</v>
      </c>
      <c r="E321" s="9">
        <v>61</v>
      </c>
      <c r="F321" t="s">
        <v>53</v>
      </c>
      <c r="G321" s="10" t="s">
        <v>54</v>
      </c>
      <c r="H321" s="11">
        <v>200</v>
      </c>
      <c r="I321" s="11">
        <v>500</v>
      </c>
      <c r="J321" s="12" t="s">
        <v>602</v>
      </c>
      <c r="K321" s="36" t="s">
        <v>414</v>
      </c>
      <c r="L321" s="10" t="s">
        <v>603</v>
      </c>
      <c r="M321" s="37" t="s">
        <v>59</v>
      </c>
      <c r="O321" s="10" t="s">
        <v>60</v>
      </c>
      <c r="P321" s="10" t="s">
        <v>61</v>
      </c>
      <c r="S321" s="10">
        <v>2910</v>
      </c>
      <c r="V321" s="10">
        <v>1</v>
      </c>
      <c r="W321" s="12">
        <v>1</v>
      </c>
      <c r="X321" s="10">
        <v>1</v>
      </c>
      <c r="AA321" s="10">
        <v>151</v>
      </c>
      <c r="AB321" s="10">
        <v>0</v>
      </c>
      <c r="AC321" s="10">
        <v>1</v>
      </c>
      <c r="AE321" s="14">
        <v>1</v>
      </c>
      <c r="AF321" s="10" t="s">
        <v>495</v>
      </c>
      <c r="AG321" s="14">
        <v>0</v>
      </c>
      <c r="AJ321" s="14">
        <v>0</v>
      </c>
      <c r="AK321" s="14">
        <v>0</v>
      </c>
      <c r="AL321" s="14">
        <v>0</v>
      </c>
      <c r="AM321" s="14">
        <v>0</v>
      </c>
      <c r="AO321" s="14">
        <v>0</v>
      </c>
      <c r="AP321" s="14"/>
      <c r="AQ321" s="14"/>
      <c r="AR321" s="14">
        <v>0</v>
      </c>
      <c r="AS321" s="14">
        <v>0</v>
      </c>
      <c r="AT321" s="14">
        <v>0</v>
      </c>
      <c r="AU321" s="14">
        <v>0</v>
      </c>
      <c r="AX321" s="16" t="s">
        <v>457</v>
      </c>
      <c r="AY321" s="16" t="s">
        <v>85</v>
      </c>
    </row>
    <row r="322" spans="1:51" ht="28.8" x14ac:dyDescent="0.3">
      <c r="A322" s="16" t="s">
        <v>480</v>
      </c>
      <c r="B322" s="38" t="s">
        <v>476</v>
      </c>
      <c r="C322" s="25">
        <v>43.432000000000002</v>
      </c>
      <c r="D322" s="25">
        <v>6.7389999999999999</v>
      </c>
      <c r="E322" s="9">
        <v>3</v>
      </c>
      <c r="F322" s="15" t="s">
        <v>53</v>
      </c>
      <c r="G322" s="14" t="s">
        <v>54</v>
      </c>
      <c r="H322" s="28">
        <v>200</v>
      </c>
      <c r="I322" s="28">
        <v>500</v>
      </c>
      <c r="J322" s="18" t="s">
        <v>602</v>
      </c>
      <c r="K322" s="41" t="s">
        <v>414</v>
      </c>
      <c r="L322" s="18" t="s">
        <v>603</v>
      </c>
      <c r="M322" s="18" t="s">
        <v>466</v>
      </c>
      <c r="N322" s="14"/>
      <c r="O322" s="14" t="s">
        <v>60</v>
      </c>
      <c r="P322" s="14" t="s">
        <v>61</v>
      </c>
      <c r="Q322" s="15"/>
      <c r="R322" s="15"/>
      <c r="S322" s="14">
        <v>0</v>
      </c>
      <c r="T322" s="15"/>
      <c r="U322" s="15"/>
      <c r="V322" s="10">
        <v>0</v>
      </c>
      <c r="W322" s="18">
        <v>3</v>
      </c>
      <c r="X322" s="14">
        <v>0</v>
      </c>
      <c r="Y322" s="14"/>
      <c r="Z322" s="14"/>
      <c r="AA322" s="14">
        <v>0</v>
      </c>
      <c r="AB322" s="14">
        <v>0</v>
      </c>
      <c r="AC322" s="14">
        <v>0</v>
      </c>
      <c r="AD322" s="14"/>
      <c r="AE322" s="14">
        <v>0</v>
      </c>
      <c r="AF322" s="14"/>
      <c r="AG322" s="14">
        <v>0</v>
      </c>
      <c r="AH322" s="14"/>
      <c r="AI322" s="14"/>
      <c r="AJ322" s="14">
        <v>0</v>
      </c>
      <c r="AK322" s="14">
        <v>0</v>
      </c>
      <c r="AL322" s="14">
        <v>0</v>
      </c>
      <c r="AM322" s="14">
        <v>0</v>
      </c>
      <c r="AO322" s="14">
        <v>0</v>
      </c>
      <c r="AP322" s="14"/>
      <c r="AQ322" s="14"/>
      <c r="AR322" s="14">
        <v>0</v>
      </c>
      <c r="AS322" s="14">
        <v>0</v>
      </c>
      <c r="AT322" s="14">
        <v>0</v>
      </c>
      <c r="AU322" s="14">
        <v>0</v>
      </c>
      <c r="AW322" s="15"/>
      <c r="AX322" s="38" t="s">
        <v>481</v>
      </c>
      <c r="AY322" s="38" t="s">
        <v>482</v>
      </c>
    </row>
    <row r="323" spans="1:51" x14ac:dyDescent="0.3">
      <c r="A323" s="42" t="s">
        <v>487</v>
      </c>
      <c r="B323" s="35" t="s">
        <v>488</v>
      </c>
      <c r="C323" s="8">
        <v>43.1</v>
      </c>
      <c r="D323" s="8">
        <v>3.0833330000000001</v>
      </c>
      <c r="E323" s="9">
        <v>5</v>
      </c>
      <c r="F323" t="s">
        <v>53</v>
      </c>
      <c r="G323" s="10" t="s">
        <v>54</v>
      </c>
      <c r="H323" s="11">
        <v>200</v>
      </c>
      <c r="I323" s="11">
        <v>500</v>
      </c>
      <c r="J323" s="12" t="s">
        <v>602</v>
      </c>
      <c r="K323" s="36" t="s">
        <v>414</v>
      </c>
      <c r="L323" s="10" t="s">
        <v>603</v>
      </c>
      <c r="M323" s="40" t="s">
        <v>59</v>
      </c>
      <c r="O323" s="10" t="s">
        <v>60</v>
      </c>
      <c r="P323" s="10" t="s">
        <v>61</v>
      </c>
      <c r="S323" s="10">
        <v>5</v>
      </c>
      <c r="V323" s="10">
        <v>0</v>
      </c>
      <c r="W323" s="10">
        <v>4</v>
      </c>
      <c r="X323" s="10">
        <v>0</v>
      </c>
      <c r="AA323" s="10">
        <v>0</v>
      </c>
      <c r="AB323" s="10">
        <v>0</v>
      </c>
      <c r="AC323" s="10">
        <v>0</v>
      </c>
      <c r="AE323" s="14">
        <v>0</v>
      </c>
      <c r="AG323" s="14">
        <v>0</v>
      </c>
      <c r="AJ323" s="14">
        <v>0</v>
      </c>
      <c r="AK323" s="14">
        <v>0</v>
      </c>
      <c r="AL323" s="14">
        <v>0</v>
      </c>
      <c r="AM323" s="14">
        <v>0</v>
      </c>
      <c r="AO323" s="14">
        <v>0</v>
      </c>
      <c r="AP323" s="14"/>
      <c r="AQ323" s="14"/>
      <c r="AR323" s="14">
        <v>0</v>
      </c>
      <c r="AS323" s="14">
        <v>0</v>
      </c>
      <c r="AT323" s="14">
        <v>0</v>
      </c>
      <c r="AU323" s="14">
        <v>0</v>
      </c>
      <c r="AX323" s="38" t="s">
        <v>477</v>
      </c>
      <c r="AY323" s="38" t="s">
        <v>427</v>
      </c>
    </row>
    <row r="324" spans="1:51" x14ac:dyDescent="0.3">
      <c r="A324" s="42" t="s">
        <v>491</v>
      </c>
      <c r="B324" s="35" t="s">
        <v>492</v>
      </c>
      <c r="C324" s="39">
        <v>43.128</v>
      </c>
      <c r="D324" s="39">
        <v>6.016</v>
      </c>
      <c r="E324" s="9">
        <v>63</v>
      </c>
      <c r="F324" t="s">
        <v>53</v>
      </c>
      <c r="G324" s="10" t="s">
        <v>54</v>
      </c>
      <c r="H324" s="11">
        <v>200</v>
      </c>
      <c r="I324" s="11">
        <v>500</v>
      </c>
      <c r="J324" s="12" t="s">
        <v>602</v>
      </c>
      <c r="K324" s="36" t="s">
        <v>414</v>
      </c>
      <c r="L324" s="10" t="s">
        <v>603</v>
      </c>
      <c r="M324" s="40" t="s">
        <v>59</v>
      </c>
      <c r="O324" s="10" t="s">
        <v>60</v>
      </c>
      <c r="P324" s="10" t="s">
        <v>61</v>
      </c>
      <c r="S324" s="10">
        <v>0</v>
      </c>
      <c r="V324" s="10">
        <v>0</v>
      </c>
      <c r="W324" s="10">
        <v>1</v>
      </c>
      <c r="X324" s="10">
        <v>0</v>
      </c>
      <c r="AA324" s="10">
        <v>0</v>
      </c>
      <c r="AB324" s="10">
        <v>0</v>
      </c>
      <c r="AC324" s="10">
        <v>0</v>
      </c>
      <c r="AE324" s="10">
        <v>0</v>
      </c>
      <c r="AG324" s="14">
        <v>0</v>
      </c>
      <c r="AJ324" s="14">
        <v>0</v>
      </c>
      <c r="AK324" s="14">
        <v>0</v>
      </c>
      <c r="AL324" s="14">
        <v>0</v>
      </c>
      <c r="AM324" s="14">
        <v>0</v>
      </c>
      <c r="AO324" s="14">
        <v>0</v>
      </c>
      <c r="AP324" s="14"/>
      <c r="AQ324" s="14"/>
      <c r="AR324" s="14">
        <v>0</v>
      </c>
      <c r="AS324" s="14">
        <v>0</v>
      </c>
      <c r="AT324" s="14">
        <v>0</v>
      </c>
      <c r="AU324" s="14">
        <v>0</v>
      </c>
      <c r="AX324" s="38" t="s">
        <v>477</v>
      </c>
      <c r="AY324" s="38" t="s">
        <v>427</v>
      </c>
    </row>
    <row r="325" spans="1:51" x14ac:dyDescent="0.3">
      <c r="A325" s="47" t="s">
        <v>491</v>
      </c>
      <c r="B325" s="48" t="s">
        <v>492</v>
      </c>
      <c r="C325" s="39">
        <v>43.128</v>
      </c>
      <c r="D325" s="39">
        <v>6.016</v>
      </c>
      <c r="E325" s="9">
        <v>63</v>
      </c>
      <c r="F325" t="s">
        <v>53</v>
      </c>
      <c r="G325" s="10" t="s">
        <v>54</v>
      </c>
      <c r="H325" s="11">
        <v>200</v>
      </c>
      <c r="I325" s="11">
        <v>500</v>
      </c>
      <c r="J325" s="12" t="s">
        <v>602</v>
      </c>
      <c r="K325" s="36" t="s">
        <v>414</v>
      </c>
      <c r="L325" s="10" t="s">
        <v>603</v>
      </c>
      <c r="M325" s="18" t="s">
        <v>92</v>
      </c>
      <c r="O325" s="10" t="s">
        <v>60</v>
      </c>
      <c r="P325" s="10" t="s">
        <v>61</v>
      </c>
      <c r="S325" s="10">
        <v>0</v>
      </c>
      <c r="V325" s="10">
        <v>0</v>
      </c>
      <c r="W325" s="10">
        <v>21</v>
      </c>
      <c r="X325" s="10">
        <v>0</v>
      </c>
      <c r="AA325" s="10">
        <v>0</v>
      </c>
      <c r="AB325" s="10">
        <v>0</v>
      </c>
      <c r="AC325" s="10">
        <v>0</v>
      </c>
      <c r="AE325" s="10">
        <v>0</v>
      </c>
      <c r="AG325" s="14">
        <v>0</v>
      </c>
      <c r="AJ325" s="14">
        <v>0</v>
      </c>
      <c r="AK325" s="14">
        <v>0</v>
      </c>
      <c r="AL325" s="14">
        <v>0</v>
      </c>
      <c r="AM325" s="14">
        <v>0</v>
      </c>
      <c r="AO325" s="14">
        <v>0</v>
      </c>
      <c r="AP325" s="14"/>
      <c r="AQ325" s="14"/>
      <c r="AR325" s="14">
        <v>0</v>
      </c>
      <c r="AS325" s="14">
        <v>0</v>
      </c>
      <c r="AT325" s="14">
        <v>0</v>
      </c>
      <c r="AU325" s="14">
        <v>0</v>
      </c>
      <c r="AX325" s="38" t="s">
        <v>477</v>
      </c>
      <c r="AY325" s="16" t="s">
        <v>427</v>
      </c>
    </row>
    <row r="326" spans="1:51" x14ac:dyDescent="0.3">
      <c r="A326" s="47" t="s">
        <v>349</v>
      </c>
      <c r="B326" s="48" t="s">
        <v>239</v>
      </c>
      <c r="C326" s="8">
        <v>43.566667000000002</v>
      </c>
      <c r="D326" s="8">
        <v>3.9</v>
      </c>
      <c r="E326" s="9">
        <v>3</v>
      </c>
      <c r="F326" t="s">
        <v>53</v>
      </c>
      <c r="G326" s="10" t="s">
        <v>54</v>
      </c>
      <c r="H326" s="11">
        <v>200</v>
      </c>
      <c r="I326" s="11">
        <v>500</v>
      </c>
      <c r="J326" s="12" t="s">
        <v>602</v>
      </c>
      <c r="K326" s="36" t="s">
        <v>414</v>
      </c>
      <c r="L326" s="10" t="s">
        <v>603</v>
      </c>
      <c r="M326" s="18" t="s">
        <v>505</v>
      </c>
      <c r="N326" s="10" t="s">
        <v>422</v>
      </c>
      <c r="O326" s="10" t="s">
        <v>60</v>
      </c>
      <c r="P326" s="10" t="s">
        <v>61</v>
      </c>
      <c r="S326" s="10">
        <v>6</v>
      </c>
      <c r="V326" s="10">
        <v>0</v>
      </c>
      <c r="W326" s="12">
        <v>3</v>
      </c>
      <c r="X326" s="10">
        <v>0</v>
      </c>
      <c r="AA326" s="10">
        <v>0</v>
      </c>
      <c r="AB326" s="10">
        <v>0</v>
      </c>
      <c r="AC326" s="10">
        <v>0</v>
      </c>
      <c r="AE326" s="10">
        <v>0</v>
      </c>
      <c r="AG326" s="14">
        <v>0</v>
      </c>
      <c r="AJ326" s="14">
        <v>0</v>
      </c>
      <c r="AK326" s="14">
        <v>0</v>
      </c>
      <c r="AL326" s="14">
        <v>0</v>
      </c>
      <c r="AM326" s="14">
        <v>0</v>
      </c>
      <c r="AO326" s="14">
        <v>0</v>
      </c>
      <c r="AP326" s="14"/>
      <c r="AQ326" s="14"/>
      <c r="AR326" s="14">
        <v>0</v>
      </c>
      <c r="AS326" s="14">
        <v>0</v>
      </c>
      <c r="AT326" s="14">
        <v>0</v>
      </c>
      <c r="AU326" s="14">
        <v>0</v>
      </c>
      <c r="AX326" s="16" t="s">
        <v>442</v>
      </c>
      <c r="AY326" s="16" t="s">
        <v>350</v>
      </c>
    </row>
    <row r="327" spans="1:51" x14ac:dyDescent="0.3">
      <c r="A327" s="34" t="s">
        <v>622</v>
      </c>
      <c r="B327" s="35" t="s">
        <v>623</v>
      </c>
      <c r="C327" s="8">
        <v>43.45</v>
      </c>
      <c r="D327" s="8">
        <v>3.6166670000000001</v>
      </c>
      <c r="E327" s="9">
        <v>28</v>
      </c>
      <c r="F327" t="s">
        <v>53</v>
      </c>
      <c r="G327" s="10" t="s">
        <v>54</v>
      </c>
      <c r="H327" s="11">
        <v>200</v>
      </c>
      <c r="I327" s="11">
        <v>500</v>
      </c>
      <c r="J327" s="12" t="s">
        <v>602</v>
      </c>
      <c r="K327" s="36" t="s">
        <v>414</v>
      </c>
      <c r="L327" s="10" t="s">
        <v>603</v>
      </c>
      <c r="M327" s="37" t="s">
        <v>59</v>
      </c>
      <c r="O327" s="10" t="s">
        <v>60</v>
      </c>
      <c r="P327" s="10" t="s">
        <v>61</v>
      </c>
      <c r="S327" s="10">
        <v>3</v>
      </c>
      <c r="V327" s="10">
        <v>0</v>
      </c>
      <c r="W327" s="10">
        <v>1</v>
      </c>
      <c r="X327" s="10">
        <v>0</v>
      </c>
      <c r="AA327" s="10">
        <v>0</v>
      </c>
      <c r="AB327" s="10">
        <v>0</v>
      </c>
      <c r="AC327" s="10">
        <v>0</v>
      </c>
      <c r="AE327" s="10">
        <v>0</v>
      </c>
      <c r="AG327" s="14">
        <v>0</v>
      </c>
      <c r="AJ327" s="14">
        <v>0</v>
      </c>
      <c r="AK327" s="14">
        <v>0</v>
      </c>
      <c r="AL327" s="14">
        <v>0</v>
      </c>
      <c r="AM327" s="14">
        <v>0</v>
      </c>
      <c r="AO327" s="14">
        <v>0</v>
      </c>
      <c r="AP327" s="14"/>
      <c r="AQ327" s="14"/>
      <c r="AR327" s="14">
        <v>0</v>
      </c>
      <c r="AS327" s="14">
        <v>0</v>
      </c>
      <c r="AT327" s="14">
        <v>0</v>
      </c>
      <c r="AU327" s="14">
        <v>0</v>
      </c>
      <c r="AX327" s="38" t="s">
        <v>477</v>
      </c>
      <c r="AY327" s="38" t="s">
        <v>350</v>
      </c>
    </row>
    <row r="328" spans="1:51" x14ac:dyDescent="0.3">
      <c r="A328" s="34" t="s">
        <v>624</v>
      </c>
      <c r="B328" s="35" t="s">
        <v>623</v>
      </c>
      <c r="C328" s="8">
        <v>43.45</v>
      </c>
      <c r="D328" s="8">
        <v>3.6166670000000001</v>
      </c>
      <c r="E328" s="9">
        <v>28</v>
      </c>
      <c r="F328" t="s">
        <v>53</v>
      </c>
      <c r="G328" s="10" t="s">
        <v>54</v>
      </c>
      <c r="H328" s="11">
        <v>200</v>
      </c>
      <c r="I328" s="11">
        <v>500</v>
      </c>
      <c r="J328" s="12" t="s">
        <v>602</v>
      </c>
      <c r="K328" s="36" t="s">
        <v>414</v>
      </c>
      <c r="L328" s="10" t="s">
        <v>603</v>
      </c>
      <c r="M328" s="37" t="s">
        <v>59</v>
      </c>
      <c r="O328" s="10" t="s">
        <v>60</v>
      </c>
      <c r="P328" s="10" t="s">
        <v>61</v>
      </c>
      <c r="S328" s="10">
        <v>1119</v>
      </c>
      <c r="V328" s="10">
        <v>4</v>
      </c>
      <c r="W328" s="10">
        <v>1</v>
      </c>
      <c r="X328" s="10">
        <v>0</v>
      </c>
      <c r="AA328" s="10">
        <v>0</v>
      </c>
      <c r="AB328" s="10">
        <v>0</v>
      </c>
      <c r="AC328" s="10">
        <v>0</v>
      </c>
      <c r="AE328" s="14">
        <v>0</v>
      </c>
      <c r="AG328" s="14">
        <v>0</v>
      </c>
      <c r="AJ328" s="14">
        <v>0</v>
      </c>
      <c r="AK328" s="14">
        <v>0</v>
      </c>
      <c r="AL328" s="14">
        <v>0</v>
      </c>
      <c r="AM328" s="14">
        <v>0</v>
      </c>
      <c r="AO328" s="14">
        <v>0</v>
      </c>
      <c r="AP328" s="14"/>
      <c r="AQ328" s="14"/>
      <c r="AR328" s="14">
        <v>0</v>
      </c>
      <c r="AS328" s="14">
        <v>0</v>
      </c>
      <c r="AT328" s="14">
        <v>0</v>
      </c>
      <c r="AU328" s="14">
        <v>0</v>
      </c>
      <c r="AX328" s="38" t="s">
        <v>442</v>
      </c>
      <c r="AY328" s="38" t="s">
        <v>350</v>
      </c>
    </row>
    <row r="329" spans="1:51" x14ac:dyDescent="0.3">
      <c r="A329" s="34" t="s">
        <v>625</v>
      </c>
      <c r="B329" s="35" t="s">
        <v>360</v>
      </c>
      <c r="C329" s="8">
        <v>43.466667000000001</v>
      </c>
      <c r="D329" s="8">
        <v>3.2166670000000002</v>
      </c>
      <c r="E329" s="9">
        <v>130</v>
      </c>
      <c r="F329" t="s">
        <v>53</v>
      </c>
      <c r="G329" s="10" t="s">
        <v>54</v>
      </c>
      <c r="H329" s="11">
        <v>200</v>
      </c>
      <c r="I329" s="11">
        <v>500</v>
      </c>
      <c r="J329" s="12" t="s">
        <v>602</v>
      </c>
      <c r="K329" s="36" t="s">
        <v>414</v>
      </c>
      <c r="L329" s="12" t="s">
        <v>603</v>
      </c>
      <c r="M329" s="40" t="s">
        <v>59</v>
      </c>
      <c r="N329" s="10" t="s">
        <v>444</v>
      </c>
      <c r="O329" s="10" t="s">
        <v>60</v>
      </c>
      <c r="P329" s="10" t="s">
        <v>61</v>
      </c>
      <c r="S329" s="10">
        <v>0</v>
      </c>
      <c r="V329" s="10">
        <v>0</v>
      </c>
      <c r="W329" s="45">
        <v>2</v>
      </c>
      <c r="X329" s="10">
        <v>0</v>
      </c>
      <c r="AA329" s="10">
        <v>0</v>
      </c>
      <c r="AB329" s="10">
        <v>0</v>
      </c>
      <c r="AC329" s="10">
        <v>0</v>
      </c>
      <c r="AE329" s="14">
        <v>0</v>
      </c>
      <c r="AG329" s="14">
        <v>0</v>
      </c>
      <c r="AJ329" s="14">
        <v>0</v>
      </c>
      <c r="AK329" s="14">
        <v>0</v>
      </c>
      <c r="AL329" s="14">
        <v>0</v>
      </c>
      <c r="AM329" s="14">
        <v>0</v>
      </c>
      <c r="AO329" s="14">
        <v>0</v>
      </c>
      <c r="AP329" s="14"/>
      <c r="AQ329" s="14"/>
      <c r="AR329" s="14">
        <v>0</v>
      </c>
      <c r="AS329" s="14">
        <v>0</v>
      </c>
      <c r="AT329" s="14">
        <v>0</v>
      </c>
      <c r="AU329" s="14">
        <v>0</v>
      </c>
      <c r="AX329" s="16" t="s">
        <v>460</v>
      </c>
      <c r="AY329" s="16" t="s">
        <v>131</v>
      </c>
    </row>
    <row r="330" spans="1:51" x14ac:dyDescent="0.3">
      <c r="A330" s="34" t="s">
        <v>510</v>
      </c>
      <c r="B330" s="35" t="s">
        <v>511</v>
      </c>
      <c r="C330" s="39">
        <v>43.296999999999997</v>
      </c>
      <c r="D330" s="39">
        <v>5.3739999999999997</v>
      </c>
      <c r="E330" s="9">
        <v>1</v>
      </c>
      <c r="F330" t="s">
        <v>53</v>
      </c>
      <c r="G330" s="10" t="s">
        <v>54</v>
      </c>
      <c r="H330" s="11">
        <v>200</v>
      </c>
      <c r="I330" s="11">
        <v>500</v>
      </c>
      <c r="J330" s="12" t="s">
        <v>602</v>
      </c>
      <c r="K330" s="36" t="s">
        <v>414</v>
      </c>
      <c r="L330" s="12" t="s">
        <v>603</v>
      </c>
      <c r="M330" s="37" t="s">
        <v>466</v>
      </c>
      <c r="N330" s="10" t="s">
        <v>422</v>
      </c>
      <c r="O330" s="10" t="s">
        <v>60</v>
      </c>
      <c r="P330" s="10" t="s">
        <v>61</v>
      </c>
      <c r="S330" s="10">
        <v>0</v>
      </c>
      <c r="V330" s="10">
        <v>0</v>
      </c>
      <c r="W330" s="10">
        <v>1</v>
      </c>
      <c r="X330" s="10">
        <v>0</v>
      </c>
      <c r="AA330" s="10">
        <v>0</v>
      </c>
      <c r="AB330" s="10">
        <v>0</v>
      </c>
      <c r="AC330" s="10">
        <v>0</v>
      </c>
      <c r="AE330" s="10">
        <v>0</v>
      </c>
      <c r="AG330" s="14">
        <v>0</v>
      </c>
      <c r="AJ330" s="14">
        <v>0</v>
      </c>
      <c r="AK330" s="14">
        <v>0</v>
      </c>
      <c r="AL330" s="14">
        <v>0</v>
      </c>
      <c r="AM330" s="14">
        <v>0</v>
      </c>
      <c r="AO330" s="14">
        <v>0</v>
      </c>
      <c r="AP330" s="14"/>
      <c r="AQ330" s="14"/>
      <c r="AR330" s="14">
        <v>0</v>
      </c>
      <c r="AS330" s="14">
        <v>0</v>
      </c>
      <c r="AT330" s="14">
        <v>0</v>
      </c>
      <c r="AU330" s="14">
        <v>0</v>
      </c>
      <c r="AX330" s="38" t="s">
        <v>416</v>
      </c>
      <c r="AY330" s="38" t="s">
        <v>68</v>
      </c>
    </row>
    <row r="331" spans="1:51" x14ac:dyDescent="0.3">
      <c r="A331" s="34" t="s">
        <v>512</v>
      </c>
      <c r="B331" s="35" t="s">
        <v>511</v>
      </c>
      <c r="C331" s="39">
        <v>43.296999999999997</v>
      </c>
      <c r="D331" s="39">
        <v>5.3739999999999997</v>
      </c>
      <c r="E331" s="9">
        <v>1</v>
      </c>
      <c r="F331" t="s">
        <v>53</v>
      </c>
      <c r="G331" s="10" t="s">
        <v>54</v>
      </c>
      <c r="H331" s="11">
        <v>200</v>
      </c>
      <c r="I331" s="11">
        <v>500</v>
      </c>
      <c r="J331" s="12" t="s">
        <v>602</v>
      </c>
      <c r="K331" s="36" t="s">
        <v>414</v>
      </c>
      <c r="L331" s="12" t="s">
        <v>603</v>
      </c>
      <c r="M331" s="37" t="s">
        <v>421</v>
      </c>
      <c r="N331" s="10" t="s">
        <v>422</v>
      </c>
      <c r="O331" s="10" t="s">
        <v>60</v>
      </c>
      <c r="P331" s="10" t="s">
        <v>61</v>
      </c>
      <c r="S331" s="10">
        <v>3</v>
      </c>
      <c r="V331" s="10">
        <v>0</v>
      </c>
      <c r="W331" s="12">
        <v>5</v>
      </c>
      <c r="X331" s="10">
        <v>0</v>
      </c>
      <c r="AA331" s="10">
        <v>0</v>
      </c>
      <c r="AB331" s="10">
        <v>0</v>
      </c>
      <c r="AC331" s="10">
        <v>0</v>
      </c>
      <c r="AE331" s="10">
        <v>0</v>
      </c>
      <c r="AG331" s="14">
        <v>0</v>
      </c>
      <c r="AJ331" s="14">
        <v>0</v>
      </c>
      <c r="AK331" s="14">
        <v>0</v>
      </c>
      <c r="AL331" s="14">
        <v>0</v>
      </c>
      <c r="AM331" s="14">
        <v>0</v>
      </c>
      <c r="AO331" s="14">
        <v>0</v>
      </c>
      <c r="AP331" s="14"/>
      <c r="AQ331" s="14"/>
      <c r="AR331" s="14">
        <v>0</v>
      </c>
      <c r="AS331" s="14">
        <v>0</v>
      </c>
      <c r="AT331" s="14">
        <v>0</v>
      </c>
      <c r="AU331" s="14">
        <v>0</v>
      </c>
      <c r="AX331" s="38" t="s">
        <v>416</v>
      </c>
      <c r="AY331" s="38" t="s">
        <v>68</v>
      </c>
    </row>
    <row r="332" spans="1:51" x14ac:dyDescent="0.3">
      <c r="A332" s="34" t="s">
        <v>626</v>
      </c>
      <c r="B332" s="35" t="s">
        <v>627</v>
      </c>
      <c r="C332" s="8">
        <v>43.783332999999999</v>
      </c>
      <c r="D332" s="8">
        <v>4.3</v>
      </c>
      <c r="E332" s="9">
        <v>60</v>
      </c>
      <c r="F332" t="s">
        <v>53</v>
      </c>
      <c r="G332" s="10" t="s">
        <v>54</v>
      </c>
      <c r="H332" s="11">
        <v>200</v>
      </c>
      <c r="I332" s="11">
        <v>500</v>
      </c>
      <c r="J332" s="12" t="s">
        <v>602</v>
      </c>
      <c r="K332" s="36" t="s">
        <v>414</v>
      </c>
      <c r="L332" s="12" t="s">
        <v>603</v>
      </c>
      <c r="M332" s="37" t="s">
        <v>59</v>
      </c>
      <c r="O332" s="10" t="s">
        <v>60</v>
      </c>
      <c r="P332" s="10" t="s">
        <v>61</v>
      </c>
      <c r="S332" s="10">
        <v>382</v>
      </c>
      <c r="V332" s="10">
        <v>7</v>
      </c>
      <c r="W332" s="12">
        <v>5</v>
      </c>
      <c r="X332" s="10">
        <v>0</v>
      </c>
      <c r="AA332" s="10">
        <v>0</v>
      </c>
      <c r="AB332" s="10">
        <v>0</v>
      </c>
      <c r="AC332" s="10">
        <v>0</v>
      </c>
      <c r="AE332" s="10">
        <v>0</v>
      </c>
      <c r="AG332" s="14">
        <v>0</v>
      </c>
      <c r="AJ332" s="14">
        <v>0</v>
      </c>
      <c r="AK332" s="14">
        <v>0</v>
      </c>
      <c r="AL332" s="14">
        <v>0</v>
      </c>
      <c r="AM332" s="14">
        <v>0</v>
      </c>
      <c r="AO332" s="14">
        <v>0</v>
      </c>
      <c r="AP332" s="14"/>
      <c r="AQ332" s="14"/>
      <c r="AR332" s="14">
        <v>0</v>
      </c>
      <c r="AS332" s="14">
        <v>0</v>
      </c>
      <c r="AT332" s="14">
        <v>0</v>
      </c>
      <c r="AU332" s="14">
        <v>0</v>
      </c>
      <c r="AX332" s="38" t="s">
        <v>416</v>
      </c>
      <c r="AY332" s="38" t="s">
        <v>68</v>
      </c>
    </row>
    <row r="333" spans="1:51" x14ac:dyDescent="0.3">
      <c r="A333" s="42" t="s">
        <v>532</v>
      </c>
      <c r="B333" s="42" t="s">
        <v>533</v>
      </c>
      <c r="C333" s="8">
        <v>43.53</v>
      </c>
      <c r="D333" s="8">
        <v>3.33</v>
      </c>
      <c r="E333" s="9">
        <v>88</v>
      </c>
      <c r="F333" t="s">
        <v>53</v>
      </c>
      <c r="G333" s="10" t="s">
        <v>54</v>
      </c>
      <c r="H333" s="11">
        <v>200</v>
      </c>
      <c r="I333" s="11">
        <v>500</v>
      </c>
      <c r="J333" s="12" t="s">
        <v>602</v>
      </c>
      <c r="K333" s="36" t="s">
        <v>414</v>
      </c>
      <c r="L333" s="10" t="s">
        <v>603</v>
      </c>
      <c r="M333" s="40" t="s">
        <v>59</v>
      </c>
      <c r="O333" s="10" t="s">
        <v>60</v>
      </c>
      <c r="P333" s="10" t="s">
        <v>61</v>
      </c>
      <c r="S333" s="10">
        <v>3</v>
      </c>
      <c r="V333" s="10">
        <v>0</v>
      </c>
      <c r="W333" s="12">
        <v>1</v>
      </c>
      <c r="X333" s="10">
        <v>0</v>
      </c>
      <c r="AA333" s="10">
        <v>0</v>
      </c>
      <c r="AB333" s="10">
        <v>0</v>
      </c>
      <c r="AC333" s="10">
        <v>0</v>
      </c>
      <c r="AE333" s="10">
        <v>0</v>
      </c>
      <c r="AG333" s="14">
        <v>0</v>
      </c>
      <c r="AJ333" s="14">
        <v>0</v>
      </c>
      <c r="AK333" s="14">
        <v>0</v>
      </c>
      <c r="AL333" s="14">
        <v>0</v>
      </c>
      <c r="AM333" s="14">
        <v>0</v>
      </c>
      <c r="AO333" s="14">
        <v>0</v>
      </c>
      <c r="AP333" s="14"/>
      <c r="AQ333" s="14"/>
      <c r="AR333" s="14">
        <v>0</v>
      </c>
      <c r="AS333" s="14">
        <v>0</v>
      </c>
      <c r="AT333" s="14">
        <v>0</v>
      </c>
      <c r="AU333" s="14">
        <v>0</v>
      </c>
      <c r="AX333" s="15" t="s">
        <v>438</v>
      </c>
      <c r="AY333" s="15" t="s">
        <v>439</v>
      </c>
    </row>
    <row r="334" spans="1:51" x14ac:dyDescent="0.3">
      <c r="A334" s="42" t="s">
        <v>543</v>
      </c>
      <c r="B334" s="35" t="s">
        <v>180</v>
      </c>
      <c r="C334" s="8">
        <v>43.833333000000003</v>
      </c>
      <c r="D334" s="8">
        <v>4.3499999999999996</v>
      </c>
      <c r="E334" s="9">
        <v>116</v>
      </c>
      <c r="F334" t="s">
        <v>53</v>
      </c>
      <c r="G334" s="10" t="s">
        <v>54</v>
      </c>
      <c r="H334" s="11">
        <v>200</v>
      </c>
      <c r="I334" s="11">
        <v>500</v>
      </c>
      <c r="J334" s="12" t="s">
        <v>602</v>
      </c>
      <c r="K334" s="36" t="s">
        <v>414</v>
      </c>
      <c r="L334" s="12" t="s">
        <v>603</v>
      </c>
      <c r="M334" s="37" t="s">
        <v>421</v>
      </c>
      <c r="O334" s="10" t="s">
        <v>60</v>
      </c>
      <c r="P334" s="10" t="s">
        <v>61</v>
      </c>
      <c r="S334" s="10">
        <v>3</v>
      </c>
      <c r="V334" s="10">
        <v>0</v>
      </c>
      <c r="W334" s="10">
        <v>2</v>
      </c>
      <c r="X334" s="10">
        <v>0</v>
      </c>
      <c r="AA334" s="10">
        <v>0</v>
      </c>
      <c r="AB334" s="10">
        <v>0</v>
      </c>
      <c r="AC334" s="10">
        <v>0</v>
      </c>
      <c r="AE334" s="10">
        <v>0</v>
      </c>
      <c r="AG334" s="14">
        <v>1</v>
      </c>
      <c r="AJ334" s="14">
        <v>5</v>
      </c>
      <c r="AK334" s="14">
        <v>0</v>
      </c>
      <c r="AL334" s="14">
        <v>2</v>
      </c>
      <c r="AM334" s="14">
        <v>0</v>
      </c>
      <c r="AN334" s="10" t="s">
        <v>62</v>
      </c>
      <c r="AO334" s="14">
        <v>0</v>
      </c>
      <c r="AP334" s="14"/>
      <c r="AQ334" s="14"/>
      <c r="AR334" s="14">
        <v>0</v>
      </c>
      <c r="AS334" s="14">
        <v>0</v>
      </c>
      <c r="AT334" s="14">
        <v>0</v>
      </c>
      <c r="AU334" s="14">
        <v>0</v>
      </c>
      <c r="AX334" s="38" t="s">
        <v>538</v>
      </c>
      <c r="AY334" s="38" t="s">
        <v>131</v>
      </c>
    </row>
    <row r="335" spans="1:51" x14ac:dyDescent="0.3">
      <c r="A335" s="34" t="s">
        <v>628</v>
      </c>
      <c r="B335" s="35" t="s">
        <v>629</v>
      </c>
      <c r="C335" s="8">
        <v>43.183332999999998</v>
      </c>
      <c r="D335" s="8">
        <v>2.8333330000000001</v>
      </c>
      <c r="E335" s="9">
        <v>27</v>
      </c>
      <c r="F335" t="s">
        <v>53</v>
      </c>
      <c r="G335" s="10" t="s">
        <v>54</v>
      </c>
      <c r="H335" s="11">
        <v>200</v>
      </c>
      <c r="I335" s="11">
        <v>500</v>
      </c>
      <c r="J335" s="12" t="s">
        <v>602</v>
      </c>
      <c r="K335" s="36" t="s">
        <v>414</v>
      </c>
      <c r="L335" s="10" t="s">
        <v>603</v>
      </c>
      <c r="M335" s="37" t="s">
        <v>59</v>
      </c>
      <c r="O335" s="10" t="s">
        <v>60</v>
      </c>
      <c r="P335" s="10" t="s">
        <v>61</v>
      </c>
      <c r="S335" s="10">
        <v>217</v>
      </c>
      <c r="V335" s="10">
        <v>27</v>
      </c>
      <c r="W335" s="12">
        <v>1</v>
      </c>
      <c r="X335" s="10">
        <v>1</v>
      </c>
      <c r="AA335" s="10">
        <v>35</v>
      </c>
      <c r="AB335" s="10">
        <v>0</v>
      </c>
      <c r="AC335" s="10">
        <v>1</v>
      </c>
      <c r="AE335" s="10">
        <v>0</v>
      </c>
      <c r="AF335" s="10" t="s">
        <v>495</v>
      </c>
      <c r="AG335" s="14">
        <v>1</v>
      </c>
      <c r="AJ335" s="14">
        <v>2</v>
      </c>
      <c r="AK335" s="14">
        <v>0</v>
      </c>
      <c r="AL335" s="14">
        <v>1</v>
      </c>
      <c r="AM335" s="14">
        <v>0</v>
      </c>
      <c r="AN335" s="10" t="s">
        <v>500</v>
      </c>
      <c r="AO335" s="14">
        <v>0</v>
      </c>
      <c r="AP335" s="14"/>
      <c r="AQ335" s="14"/>
      <c r="AR335" s="14">
        <v>0</v>
      </c>
      <c r="AS335" s="14">
        <v>0</v>
      </c>
      <c r="AT335" s="14">
        <v>0</v>
      </c>
      <c r="AU335" s="14">
        <v>0</v>
      </c>
      <c r="AX335" s="38" t="s">
        <v>630</v>
      </c>
      <c r="AY335" s="38" t="s">
        <v>631</v>
      </c>
    </row>
    <row r="336" spans="1:51" x14ac:dyDescent="0.3">
      <c r="A336" s="34" t="s">
        <v>632</v>
      </c>
      <c r="B336" s="34" t="s">
        <v>565</v>
      </c>
      <c r="C336" s="8">
        <v>42.616667</v>
      </c>
      <c r="D336" s="8">
        <v>2.4333330000000002</v>
      </c>
      <c r="E336" s="9">
        <v>300</v>
      </c>
      <c r="F336" t="s">
        <v>53</v>
      </c>
      <c r="G336" s="10" t="s">
        <v>54</v>
      </c>
      <c r="H336" s="11">
        <v>200</v>
      </c>
      <c r="I336" s="11">
        <v>500</v>
      </c>
      <c r="J336" s="12" t="s">
        <v>602</v>
      </c>
      <c r="K336" s="36" t="s">
        <v>414</v>
      </c>
      <c r="L336" s="10" t="s">
        <v>603</v>
      </c>
      <c r="M336" s="37" t="s">
        <v>59</v>
      </c>
      <c r="O336" s="10" t="s">
        <v>60</v>
      </c>
      <c r="P336" s="10" t="s">
        <v>61</v>
      </c>
      <c r="S336" s="10">
        <v>4</v>
      </c>
      <c r="V336" s="10">
        <v>1</v>
      </c>
      <c r="W336" s="12">
        <v>1</v>
      </c>
      <c r="X336" s="10">
        <v>0</v>
      </c>
      <c r="AA336" s="10">
        <v>0</v>
      </c>
      <c r="AB336" s="10">
        <v>0</v>
      </c>
      <c r="AC336" s="10">
        <v>0</v>
      </c>
      <c r="AE336" s="10">
        <v>0</v>
      </c>
      <c r="AG336" s="14">
        <v>0</v>
      </c>
      <c r="AJ336" s="14">
        <v>0</v>
      </c>
      <c r="AK336" s="14">
        <v>0</v>
      </c>
      <c r="AL336" s="14">
        <v>0</v>
      </c>
      <c r="AM336" s="14">
        <v>0</v>
      </c>
      <c r="AO336" s="14">
        <v>0</v>
      </c>
      <c r="AP336" s="14"/>
      <c r="AQ336" s="14"/>
      <c r="AR336" s="14">
        <v>0</v>
      </c>
      <c r="AS336" s="14">
        <v>0</v>
      </c>
      <c r="AT336" s="14">
        <v>0</v>
      </c>
      <c r="AU336" s="14">
        <v>0</v>
      </c>
      <c r="AX336" s="16" t="s">
        <v>457</v>
      </c>
      <c r="AY336" s="16" t="s">
        <v>85</v>
      </c>
    </row>
    <row r="337" spans="1:51" x14ac:dyDescent="0.3">
      <c r="A337" s="34" t="s">
        <v>564</v>
      </c>
      <c r="B337" s="34" t="s">
        <v>565</v>
      </c>
      <c r="C337" s="8">
        <v>42.616667</v>
      </c>
      <c r="D337" s="8">
        <v>2.4333330000000002</v>
      </c>
      <c r="E337" s="9">
        <v>300</v>
      </c>
      <c r="F337" t="s">
        <v>53</v>
      </c>
      <c r="G337" s="10" t="s">
        <v>54</v>
      </c>
      <c r="H337" s="11">
        <v>500</v>
      </c>
      <c r="I337" s="11">
        <v>600</v>
      </c>
      <c r="J337" s="12" t="s">
        <v>602</v>
      </c>
      <c r="K337" s="36" t="s">
        <v>414</v>
      </c>
      <c r="L337" s="10" t="s">
        <v>617</v>
      </c>
      <c r="M337" s="37" t="s">
        <v>59</v>
      </c>
      <c r="O337" s="10" t="s">
        <v>60</v>
      </c>
      <c r="P337" s="10" t="s">
        <v>61</v>
      </c>
      <c r="S337" s="10">
        <v>5</v>
      </c>
      <c r="V337" s="10">
        <v>0</v>
      </c>
      <c r="W337" s="12">
        <v>1</v>
      </c>
      <c r="X337" s="10">
        <v>0</v>
      </c>
      <c r="AA337" s="10">
        <v>0</v>
      </c>
      <c r="AB337" s="10">
        <v>0</v>
      </c>
      <c r="AC337" s="10">
        <v>0</v>
      </c>
      <c r="AE337" s="14">
        <v>0</v>
      </c>
      <c r="AG337" s="14">
        <v>0</v>
      </c>
      <c r="AJ337" s="14">
        <v>0</v>
      </c>
      <c r="AK337" s="14">
        <v>0</v>
      </c>
      <c r="AL337" s="14">
        <v>0</v>
      </c>
      <c r="AM337" s="14">
        <v>0</v>
      </c>
      <c r="AO337" s="14">
        <v>0</v>
      </c>
      <c r="AP337" s="14"/>
      <c r="AQ337" s="14"/>
      <c r="AR337" s="14">
        <v>0</v>
      </c>
      <c r="AS337" s="14">
        <v>0</v>
      </c>
      <c r="AT337" s="14">
        <v>0</v>
      </c>
      <c r="AU337" s="14">
        <v>0</v>
      </c>
      <c r="AX337" s="16" t="s">
        <v>457</v>
      </c>
      <c r="AY337" s="16" t="s">
        <v>85</v>
      </c>
    </row>
    <row r="338" spans="1:51" x14ac:dyDescent="0.3">
      <c r="A338" s="34" t="s">
        <v>564</v>
      </c>
      <c r="B338" s="34" t="s">
        <v>565</v>
      </c>
      <c r="C338" s="8">
        <v>42.616667</v>
      </c>
      <c r="D338" s="8">
        <v>2.4333330000000002</v>
      </c>
      <c r="E338" s="9">
        <v>300</v>
      </c>
      <c r="F338" t="s">
        <v>53</v>
      </c>
      <c r="G338" s="10" t="s">
        <v>54</v>
      </c>
      <c r="H338" s="11">
        <v>200</v>
      </c>
      <c r="I338" s="11">
        <v>500</v>
      </c>
      <c r="J338" s="12" t="s">
        <v>602</v>
      </c>
      <c r="K338" s="36" t="s">
        <v>414</v>
      </c>
      <c r="L338" s="10" t="s">
        <v>603</v>
      </c>
      <c r="M338" s="37" t="s">
        <v>59</v>
      </c>
      <c r="O338" s="10" t="s">
        <v>60</v>
      </c>
      <c r="P338" s="10" t="s">
        <v>61</v>
      </c>
      <c r="S338" s="10">
        <v>2691</v>
      </c>
      <c r="V338" s="10">
        <v>5</v>
      </c>
      <c r="W338" s="12">
        <v>4</v>
      </c>
      <c r="X338" s="10">
        <v>1</v>
      </c>
      <c r="AA338" s="10">
        <v>119</v>
      </c>
      <c r="AB338" s="10">
        <v>0</v>
      </c>
      <c r="AC338" s="10">
        <v>1</v>
      </c>
      <c r="AE338" s="14">
        <v>1</v>
      </c>
      <c r="AF338" s="10" t="s">
        <v>495</v>
      </c>
      <c r="AG338" s="14">
        <v>0</v>
      </c>
      <c r="AJ338" s="14">
        <v>0</v>
      </c>
      <c r="AK338" s="14">
        <v>0</v>
      </c>
      <c r="AL338" s="14">
        <v>0</v>
      </c>
      <c r="AM338" s="14">
        <v>0</v>
      </c>
      <c r="AO338" s="14">
        <v>0</v>
      </c>
      <c r="AP338" s="14"/>
      <c r="AQ338" s="14"/>
      <c r="AR338" s="14">
        <v>0</v>
      </c>
      <c r="AS338" s="14">
        <v>0</v>
      </c>
      <c r="AT338" s="14">
        <v>0</v>
      </c>
      <c r="AU338" s="14">
        <v>0</v>
      </c>
      <c r="AX338" s="16" t="s">
        <v>457</v>
      </c>
      <c r="AY338" s="16" t="s">
        <v>85</v>
      </c>
    </row>
    <row r="339" spans="1:51" x14ac:dyDescent="0.3">
      <c r="A339" s="34" t="s">
        <v>633</v>
      </c>
      <c r="B339" s="35" t="s">
        <v>634</v>
      </c>
      <c r="C339" s="8">
        <v>43.45</v>
      </c>
      <c r="D339" s="8">
        <v>3.233333</v>
      </c>
      <c r="E339" s="9">
        <v>300</v>
      </c>
      <c r="F339" t="s">
        <v>53</v>
      </c>
      <c r="G339" s="10" t="s">
        <v>54</v>
      </c>
      <c r="H339" s="11">
        <v>500</v>
      </c>
      <c r="I339" s="11">
        <v>600</v>
      </c>
      <c r="J339" s="12" t="s">
        <v>602</v>
      </c>
      <c r="K339" s="36" t="s">
        <v>414</v>
      </c>
      <c r="L339" s="10" t="s">
        <v>617</v>
      </c>
      <c r="M339" s="37" t="s">
        <v>59</v>
      </c>
      <c r="O339" s="10" t="s">
        <v>60</v>
      </c>
      <c r="P339" s="10" t="s">
        <v>84</v>
      </c>
      <c r="S339" s="10">
        <v>3</v>
      </c>
      <c r="V339" s="10">
        <v>0</v>
      </c>
      <c r="W339" s="10">
        <v>1</v>
      </c>
      <c r="X339" s="10">
        <v>0</v>
      </c>
      <c r="AA339" s="10">
        <v>0</v>
      </c>
      <c r="AB339" s="10">
        <v>0</v>
      </c>
      <c r="AC339" s="10">
        <v>0</v>
      </c>
      <c r="AE339" s="10">
        <v>0</v>
      </c>
      <c r="AG339" s="14">
        <v>0</v>
      </c>
      <c r="AJ339" s="14">
        <v>0</v>
      </c>
      <c r="AK339" s="14">
        <v>0</v>
      </c>
      <c r="AL339" s="14">
        <v>0</v>
      </c>
      <c r="AM339" s="14">
        <v>0</v>
      </c>
      <c r="AO339" s="14">
        <v>0</v>
      </c>
      <c r="AP339" s="14"/>
      <c r="AQ339" s="14"/>
      <c r="AR339" s="14">
        <v>0</v>
      </c>
      <c r="AS339" s="14">
        <v>0</v>
      </c>
      <c r="AT339" s="14">
        <v>0</v>
      </c>
      <c r="AU339" s="14">
        <v>0</v>
      </c>
      <c r="AX339" s="38" t="s">
        <v>635</v>
      </c>
      <c r="AY339" s="38" t="s">
        <v>536</v>
      </c>
    </row>
    <row r="340" spans="1:51" x14ac:dyDescent="0.3">
      <c r="A340" s="34" t="s">
        <v>566</v>
      </c>
      <c r="B340" s="35" t="s">
        <v>567</v>
      </c>
      <c r="C340" s="8">
        <v>43.616667</v>
      </c>
      <c r="D340" s="8">
        <v>5.75</v>
      </c>
      <c r="E340" s="9">
        <v>385</v>
      </c>
      <c r="F340" t="s">
        <v>53</v>
      </c>
      <c r="G340" s="10" t="s">
        <v>54</v>
      </c>
      <c r="H340" s="11">
        <v>200</v>
      </c>
      <c r="I340" s="11">
        <v>500</v>
      </c>
      <c r="J340" s="12" t="s">
        <v>602</v>
      </c>
      <c r="K340" s="36" t="s">
        <v>414</v>
      </c>
      <c r="L340" s="12" t="s">
        <v>603</v>
      </c>
      <c r="M340" s="37" t="s">
        <v>59</v>
      </c>
      <c r="O340" s="10" t="s">
        <v>60</v>
      </c>
      <c r="P340" s="10" t="s">
        <v>61</v>
      </c>
      <c r="S340" s="10">
        <v>28</v>
      </c>
      <c r="V340" s="10">
        <v>0</v>
      </c>
      <c r="W340" s="12">
        <v>4</v>
      </c>
      <c r="X340" s="10">
        <v>0</v>
      </c>
      <c r="AA340" s="10">
        <v>0</v>
      </c>
      <c r="AB340" s="10">
        <v>0</v>
      </c>
      <c r="AC340" s="10">
        <v>0</v>
      </c>
      <c r="AE340" s="14">
        <v>0</v>
      </c>
      <c r="AG340" s="14">
        <v>0</v>
      </c>
      <c r="AJ340" s="14">
        <v>0</v>
      </c>
      <c r="AK340" s="14">
        <v>0</v>
      </c>
      <c r="AL340" s="14">
        <v>0</v>
      </c>
      <c r="AM340" s="14">
        <v>0</v>
      </c>
      <c r="AO340" s="14">
        <v>0</v>
      </c>
      <c r="AP340" s="14"/>
      <c r="AQ340" s="14"/>
      <c r="AR340" s="14">
        <v>0</v>
      </c>
      <c r="AS340" s="14">
        <v>0</v>
      </c>
      <c r="AT340" s="14">
        <v>0</v>
      </c>
      <c r="AU340" s="14">
        <v>0</v>
      </c>
      <c r="AX340" s="38" t="s">
        <v>416</v>
      </c>
      <c r="AY340" s="38" t="s">
        <v>68</v>
      </c>
    </row>
    <row r="341" spans="1:51" x14ac:dyDescent="0.3">
      <c r="A341" s="47" t="s">
        <v>636</v>
      </c>
      <c r="B341" s="48" t="s">
        <v>637</v>
      </c>
      <c r="C341" s="8">
        <v>44.7</v>
      </c>
      <c r="D341" s="8">
        <v>5.1833330000000002</v>
      </c>
      <c r="E341" s="9">
        <v>399</v>
      </c>
      <c r="F341" t="s">
        <v>53</v>
      </c>
      <c r="G341" s="10" t="s">
        <v>54</v>
      </c>
      <c r="H341" s="11">
        <v>200</v>
      </c>
      <c r="I341" s="11">
        <v>500</v>
      </c>
      <c r="J341" s="12" t="s">
        <v>602</v>
      </c>
      <c r="K341" s="36" t="s">
        <v>414</v>
      </c>
      <c r="L341" s="10" t="s">
        <v>603</v>
      </c>
      <c r="M341" s="18" t="s">
        <v>59</v>
      </c>
      <c r="O341" s="10" t="s">
        <v>60</v>
      </c>
      <c r="P341" s="10" t="s">
        <v>61</v>
      </c>
      <c r="S341" s="10">
        <v>13</v>
      </c>
      <c r="V341" s="10">
        <v>22</v>
      </c>
      <c r="W341" s="10">
        <v>6</v>
      </c>
      <c r="X341" s="10">
        <v>1</v>
      </c>
      <c r="AA341" s="10">
        <v>10</v>
      </c>
      <c r="AB341" s="10">
        <v>0</v>
      </c>
      <c r="AC341" s="10">
        <v>1</v>
      </c>
      <c r="AE341" s="10">
        <v>0</v>
      </c>
      <c r="AF341" s="10" t="s">
        <v>495</v>
      </c>
      <c r="AG341" s="14">
        <v>0</v>
      </c>
      <c r="AJ341" s="14">
        <v>0</v>
      </c>
      <c r="AK341" s="14">
        <v>0</v>
      </c>
      <c r="AL341" s="14">
        <v>0</v>
      </c>
      <c r="AM341" s="14">
        <v>0</v>
      </c>
      <c r="AO341" s="14">
        <v>0</v>
      </c>
      <c r="AP341" s="14"/>
      <c r="AQ341" s="14"/>
      <c r="AR341" s="14">
        <v>0</v>
      </c>
      <c r="AS341" s="14">
        <v>0</v>
      </c>
      <c r="AT341" s="14">
        <v>0</v>
      </c>
      <c r="AU341" s="14">
        <v>0</v>
      </c>
      <c r="AX341" s="16" t="s">
        <v>638</v>
      </c>
      <c r="AY341" s="16" t="s">
        <v>350</v>
      </c>
    </row>
    <row r="342" spans="1:51" x14ac:dyDescent="0.3">
      <c r="A342" s="34" t="s">
        <v>639</v>
      </c>
      <c r="B342" s="35" t="s">
        <v>571</v>
      </c>
      <c r="C342" s="8">
        <v>45.75</v>
      </c>
      <c r="D342" s="8">
        <v>5.2166670000000002</v>
      </c>
      <c r="E342" s="9">
        <v>194</v>
      </c>
      <c r="F342" t="s">
        <v>53</v>
      </c>
      <c r="G342" s="10" t="s">
        <v>54</v>
      </c>
      <c r="H342" s="11">
        <v>200</v>
      </c>
      <c r="I342" s="11">
        <v>500</v>
      </c>
      <c r="J342" s="12" t="s">
        <v>602</v>
      </c>
      <c r="K342" s="36" t="s">
        <v>414</v>
      </c>
      <c r="L342" s="12" t="s">
        <v>603</v>
      </c>
      <c r="M342" s="37" t="s">
        <v>59</v>
      </c>
      <c r="O342" s="10" t="s">
        <v>60</v>
      </c>
      <c r="P342" s="10" t="s">
        <v>61</v>
      </c>
      <c r="S342" s="10">
        <v>23</v>
      </c>
      <c r="V342" s="10">
        <v>6395</v>
      </c>
      <c r="W342" s="12">
        <v>5</v>
      </c>
      <c r="X342" s="10">
        <v>0</v>
      </c>
      <c r="AA342" s="10">
        <v>0</v>
      </c>
      <c r="AB342" s="10">
        <v>0</v>
      </c>
      <c r="AC342" s="10">
        <v>0</v>
      </c>
      <c r="AE342" s="14">
        <v>0</v>
      </c>
      <c r="AG342" s="14">
        <v>0</v>
      </c>
      <c r="AJ342" s="14">
        <v>0</v>
      </c>
      <c r="AK342" s="14">
        <v>0</v>
      </c>
      <c r="AL342" s="14">
        <v>0</v>
      </c>
      <c r="AM342" s="14">
        <v>0</v>
      </c>
      <c r="AO342" s="14">
        <v>0</v>
      </c>
      <c r="AP342" s="14"/>
      <c r="AQ342" s="14"/>
      <c r="AR342" s="14">
        <v>0</v>
      </c>
      <c r="AS342" s="14">
        <v>0</v>
      </c>
      <c r="AT342" s="14">
        <v>0</v>
      </c>
      <c r="AU342" s="14">
        <v>0</v>
      </c>
      <c r="AX342" s="16" t="s">
        <v>416</v>
      </c>
      <c r="AY342" s="16" t="s">
        <v>68</v>
      </c>
    </row>
    <row r="343" spans="1:51" x14ac:dyDescent="0.3">
      <c r="A343" s="43" t="s">
        <v>585</v>
      </c>
      <c r="B343" s="35" t="s">
        <v>586</v>
      </c>
      <c r="C343" s="8">
        <v>43.116667</v>
      </c>
      <c r="D343" s="8">
        <v>5.9333330000000002</v>
      </c>
      <c r="E343" s="9">
        <v>16</v>
      </c>
      <c r="F343" t="s">
        <v>53</v>
      </c>
      <c r="G343" s="10" t="s">
        <v>54</v>
      </c>
      <c r="H343" s="11">
        <v>200</v>
      </c>
      <c r="I343" s="11">
        <v>500</v>
      </c>
      <c r="J343" s="12" t="s">
        <v>602</v>
      </c>
      <c r="K343" s="36" t="s">
        <v>414</v>
      </c>
      <c r="L343" s="12" t="s">
        <v>603</v>
      </c>
      <c r="M343" s="37" t="s">
        <v>421</v>
      </c>
      <c r="O343" s="10" t="s">
        <v>60</v>
      </c>
      <c r="P343" s="10" t="s">
        <v>61</v>
      </c>
      <c r="S343" s="10">
        <v>1</v>
      </c>
      <c r="V343" s="10">
        <v>0</v>
      </c>
      <c r="W343" s="10">
        <v>1</v>
      </c>
      <c r="X343" s="10">
        <v>0</v>
      </c>
      <c r="AA343" s="10">
        <v>0</v>
      </c>
      <c r="AB343" s="10">
        <v>0</v>
      </c>
      <c r="AC343" s="10">
        <v>0</v>
      </c>
      <c r="AE343" s="14">
        <v>0</v>
      </c>
      <c r="AG343" s="14">
        <v>0</v>
      </c>
      <c r="AJ343" s="14">
        <v>0</v>
      </c>
      <c r="AK343" s="14">
        <v>0</v>
      </c>
      <c r="AL343" s="14">
        <v>0</v>
      </c>
      <c r="AM343" s="14">
        <v>0</v>
      </c>
      <c r="AO343" s="14">
        <v>0</v>
      </c>
      <c r="AP343" s="14"/>
      <c r="AQ343" s="14"/>
      <c r="AR343" s="14">
        <v>0</v>
      </c>
      <c r="AS343" s="14">
        <v>0</v>
      </c>
      <c r="AT343" s="14">
        <v>0</v>
      </c>
      <c r="AU343" s="14">
        <v>0</v>
      </c>
      <c r="AX343" s="16" t="s">
        <v>416</v>
      </c>
      <c r="AY343" s="16" t="s">
        <v>68</v>
      </c>
    </row>
    <row r="344" spans="1:51" x14ac:dyDescent="0.3">
      <c r="A344" s="34" t="s">
        <v>296</v>
      </c>
      <c r="B344" s="35" t="s">
        <v>297</v>
      </c>
      <c r="C344" s="8">
        <v>43.316667000000002</v>
      </c>
      <c r="D344" s="8">
        <v>3.266667</v>
      </c>
      <c r="E344" s="9">
        <v>2</v>
      </c>
      <c r="F344" t="s">
        <v>53</v>
      </c>
      <c r="G344" s="10" t="s">
        <v>54</v>
      </c>
      <c r="H344" s="11">
        <v>200</v>
      </c>
      <c r="I344" s="11">
        <v>500</v>
      </c>
      <c r="J344" s="12" t="s">
        <v>602</v>
      </c>
      <c r="K344" s="36" t="s">
        <v>414</v>
      </c>
      <c r="L344" s="12" t="s">
        <v>603</v>
      </c>
      <c r="M344" s="37" t="s">
        <v>59</v>
      </c>
      <c r="O344" s="10" t="s">
        <v>60</v>
      </c>
      <c r="P344" s="10" t="s">
        <v>61</v>
      </c>
      <c r="S344" s="10">
        <v>0</v>
      </c>
      <c r="V344" s="10">
        <v>0</v>
      </c>
      <c r="W344" s="12">
        <v>1</v>
      </c>
      <c r="X344" s="10">
        <v>0</v>
      </c>
      <c r="AA344" s="10">
        <v>0</v>
      </c>
      <c r="AB344" s="10">
        <v>0</v>
      </c>
      <c r="AC344" s="10">
        <v>0</v>
      </c>
      <c r="AE344" s="10">
        <v>0</v>
      </c>
      <c r="AG344" s="14">
        <v>0</v>
      </c>
      <c r="AJ344" s="14">
        <v>0</v>
      </c>
      <c r="AK344" s="14">
        <v>0</v>
      </c>
      <c r="AL344" s="14">
        <v>0</v>
      </c>
      <c r="AM344" s="14">
        <v>0</v>
      </c>
      <c r="AO344" s="14">
        <v>0</v>
      </c>
      <c r="AP344" s="14"/>
      <c r="AQ344" s="14"/>
      <c r="AR344" s="14">
        <v>0</v>
      </c>
      <c r="AS344" s="14">
        <v>0</v>
      </c>
      <c r="AT344" s="14">
        <v>0</v>
      </c>
      <c r="AU344" s="14">
        <v>0</v>
      </c>
      <c r="AX344" s="38" t="s">
        <v>416</v>
      </c>
      <c r="AY344" s="38" t="s">
        <v>68</v>
      </c>
    </row>
    <row r="345" spans="1:51" ht="28.8" x14ac:dyDescent="0.3">
      <c r="A345" s="16" t="s">
        <v>598</v>
      </c>
      <c r="B345" s="38" t="s">
        <v>599</v>
      </c>
      <c r="C345" s="25">
        <v>43.733333000000002</v>
      </c>
      <c r="D345" s="25">
        <v>4.1500000000000004</v>
      </c>
      <c r="E345" s="26">
        <v>15</v>
      </c>
      <c r="F345" s="15" t="s">
        <v>53</v>
      </c>
      <c r="G345" s="14" t="s">
        <v>54</v>
      </c>
      <c r="H345" s="28">
        <v>200</v>
      </c>
      <c r="I345" s="28">
        <v>500</v>
      </c>
      <c r="J345" s="18" t="s">
        <v>602</v>
      </c>
      <c r="K345" s="41" t="s">
        <v>414</v>
      </c>
      <c r="L345" s="18" t="s">
        <v>603</v>
      </c>
      <c r="M345" s="18" t="s">
        <v>421</v>
      </c>
      <c r="N345" s="14"/>
      <c r="O345" s="14" t="s">
        <v>60</v>
      </c>
      <c r="P345" s="14" t="s">
        <v>61</v>
      </c>
      <c r="Q345" s="15"/>
      <c r="R345" s="15"/>
      <c r="S345" s="14">
        <v>111</v>
      </c>
      <c r="T345" s="15"/>
      <c r="U345" s="15"/>
      <c r="V345" s="14">
        <v>27</v>
      </c>
      <c r="W345" s="18">
        <v>13</v>
      </c>
      <c r="X345" s="14">
        <v>0</v>
      </c>
      <c r="Y345" s="14"/>
      <c r="Z345" s="14"/>
      <c r="AA345" s="14">
        <v>0</v>
      </c>
      <c r="AB345" s="14">
        <v>0</v>
      </c>
      <c r="AC345" s="14">
        <v>0</v>
      </c>
      <c r="AD345" s="14"/>
      <c r="AE345" s="14">
        <v>0</v>
      </c>
      <c r="AF345" s="14"/>
      <c r="AG345" s="14">
        <v>0</v>
      </c>
      <c r="AH345" s="14"/>
      <c r="AI345" s="14"/>
      <c r="AJ345" s="14">
        <v>0</v>
      </c>
      <c r="AK345" s="14">
        <v>0</v>
      </c>
      <c r="AL345" s="14">
        <v>0</v>
      </c>
      <c r="AM345" s="14">
        <v>0</v>
      </c>
      <c r="AN345" s="14"/>
      <c r="AO345" s="14">
        <v>0</v>
      </c>
      <c r="AP345" s="14"/>
      <c r="AQ345" s="14"/>
      <c r="AR345" s="14">
        <v>0</v>
      </c>
      <c r="AS345" s="14">
        <v>0</v>
      </c>
      <c r="AT345" s="14">
        <v>0</v>
      </c>
      <c r="AU345" s="14">
        <v>0</v>
      </c>
      <c r="AV345" s="14"/>
      <c r="AW345" s="15"/>
      <c r="AX345" s="38" t="s">
        <v>640</v>
      </c>
      <c r="AY345" s="38" t="s">
        <v>641</v>
      </c>
    </row>
    <row r="346" spans="1:51" x14ac:dyDescent="0.3">
      <c r="A346" s="34" t="s">
        <v>598</v>
      </c>
      <c r="B346" s="35" t="s">
        <v>599</v>
      </c>
      <c r="C346" s="8">
        <v>43.733333000000002</v>
      </c>
      <c r="D346" s="8">
        <v>4.1500000000000004</v>
      </c>
      <c r="E346" s="26">
        <v>15</v>
      </c>
      <c r="F346" t="s">
        <v>53</v>
      </c>
      <c r="G346" s="10" t="s">
        <v>54</v>
      </c>
      <c r="H346" s="11">
        <v>200</v>
      </c>
      <c r="I346" s="11">
        <v>500</v>
      </c>
      <c r="J346" s="12" t="s">
        <v>602</v>
      </c>
      <c r="K346" s="36" t="s">
        <v>414</v>
      </c>
      <c r="L346" s="12" t="s">
        <v>603</v>
      </c>
      <c r="M346" s="37" t="s">
        <v>429</v>
      </c>
      <c r="N346" s="10" t="s">
        <v>430</v>
      </c>
      <c r="O346" s="10" t="s">
        <v>60</v>
      </c>
      <c r="P346" s="10" t="s">
        <v>60</v>
      </c>
      <c r="S346" s="10">
        <v>0</v>
      </c>
      <c r="V346" s="10">
        <v>0</v>
      </c>
      <c r="W346" s="12">
        <v>1</v>
      </c>
      <c r="X346" s="10">
        <v>0</v>
      </c>
      <c r="AA346" s="10">
        <v>0</v>
      </c>
      <c r="AB346" s="10">
        <v>0</v>
      </c>
      <c r="AC346" s="10">
        <v>0</v>
      </c>
      <c r="AE346" s="10">
        <v>0</v>
      </c>
      <c r="AG346" s="14">
        <v>0</v>
      </c>
      <c r="AJ346" s="14">
        <v>0</v>
      </c>
      <c r="AK346" s="14">
        <v>0</v>
      </c>
      <c r="AL346" s="14">
        <v>0</v>
      </c>
      <c r="AM346" s="14">
        <v>0</v>
      </c>
      <c r="AO346" s="14">
        <v>0</v>
      </c>
      <c r="AP346" s="14"/>
      <c r="AQ346" s="14"/>
      <c r="AR346" s="14">
        <v>0</v>
      </c>
      <c r="AS346" s="14">
        <v>0</v>
      </c>
      <c r="AT346" s="14">
        <v>0</v>
      </c>
      <c r="AU346" s="14">
        <v>0</v>
      </c>
      <c r="AX346" s="38" t="s">
        <v>601</v>
      </c>
      <c r="AY346" s="38" t="s">
        <v>350</v>
      </c>
    </row>
    <row r="347" spans="1:51" x14ac:dyDescent="0.3">
      <c r="A347" s="34" t="s">
        <v>642</v>
      </c>
      <c r="B347" t="s">
        <v>643</v>
      </c>
      <c r="C347" s="8">
        <v>38.727899879352002</v>
      </c>
      <c r="D347" s="8">
        <v>0.104525987306731</v>
      </c>
      <c r="F347" s="10" t="s">
        <v>644</v>
      </c>
      <c r="G347" s="10" t="s">
        <v>54</v>
      </c>
      <c r="H347" s="11">
        <v>-5600</v>
      </c>
      <c r="I347" s="11">
        <v>-5200</v>
      </c>
      <c r="J347" s="10" t="s">
        <v>645</v>
      </c>
      <c r="K347" s="10" t="s">
        <v>646</v>
      </c>
      <c r="L347" s="10" t="s">
        <v>647</v>
      </c>
      <c r="M347" s="10" t="s">
        <v>67</v>
      </c>
      <c r="O347" s="10" t="s">
        <v>60</v>
      </c>
      <c r="P347" s="10" t="s">
        <v>61</v>
      </c>
      <c r="Q347" s="10">
        <v>336</v>
      </c>
      <c r="R347" s="10">
        <v>0</v>
      </c>
      <c r="S347" s="10">
        <f>Q347+(R347/2)</f>
        <v>336</v>
      </c>
      <c r="T347" s="10">
        <v>18</v>
      </c>
      <c r="U347" s="10">
        <v>0</v>
      </c>
      <c r="V347" s="10">
        <f>T347+(U347/2)</f>
        <v>18</v>
      </c>
      <c r="W347" s="10">
        <v>75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E347" s="10">
        <v>0</v>
      </c>
      <c r="AG347" s="10">
        <v>1</v>
      </c>
      <c r="AH347" s="10">
        <v>8</v>
      </c>
      <c r="AI347" s="10">
        <v>0</v>
      </c>
      <c r="AJ347" s="10">
        <v>8</v>
      </c>
      <c r="AK347" s="10">
        <v>0</v>
      </c>
      <c r="AL347" s="10">
        <v>5</v>
      </c>
      <c r="AM347" s="14">
        <v>0</v>
      </c>
      <c r="AN347" s="10" t="s">
        <v>500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X347" s="15" t="s">
        <v>648</v>
      </c>
      <c r="AY347" s="15" t="s">
        <v>649</v>
      </c>
    </row>
    <row r="348" spans="1:51" x14ac:dyDescent="0.3">
      <c r="A348" s="34" t="s">
        <v>650</v>
      </c>
      <c r="B348" t="s">
        <v>643</v>
      </c>
      <c r="C348" s="8">
        <v>38.727899879352002</v>
      </c>
      <c r="D348" s="8">
        <v>0.104525987306731</v>
      </c>
      <c r="F348" s="10" t="s">
        <v>644</v>
      </c>
      <c r="G348" s="10" t="s">
        <v>54</v>
      </c>
      <c r="H348" s="11">
        <v>-5200</v>
      </c>
      <c r="I348" s="11">
        <v>-4900</v>
      </c>
      <c r="J348" s="10" t="s">
        <v>645</v>
      </c>
      <c r="K348" s="10" t="s">
        <v>646</v>
      </c>
      <c r="L348" s="10" t="s">
        <v>651</v>
      </c>
      <c r="M348" s="10" t="s">
        <v>67</v>
      </c>
      <c r="O348" s="10" t="s">
        <v>60</v>
      </c>
      <c r="P348" s="10" t="s">
        <v>61</v>
      </c>
      <c r="Q348" s="10">
        <v>150</v>
      </c>
      <c r="R348" s="10">
        <v>0</v>
      </c>
      <c r="S348" s="10">
        <f t="shared" ref="S348:S355" si="0">Q348+(R348/2)</f>
        <v>150</v>
      </c>
      <c r="T348" s="10">
        <v>1</v>
      </c>
      <c r="U348" s="10">
        <v>0</v>
      </c>
      <c r="V348" s="10">
        <f>T348+(U348/2)</f>
        <v>1</v>
      </c>
      <c r="W348" s="10">
        <v>36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E348" s="10">
        <v>0</v>
      </c>
      <c r="AG348" s="10">
        <v>1</v>
      </c>
      <c r="AH348" s="10">
        <v>1</v>
      </c>
      <c r="AI348" s="10">
        <v>0</v>
      </c>
      <c r="AJ348" s="10">
        <v>1</v>
      </c>
      <c r="AK348" s="10">
        <v>0</v>
      </c>
      <c r="AL348" s="10">
        <v>1</v>
      </c>
      <c r="AM348" s="14">
        <v>0</v>
      </c>
      <c r="AN348" s="10" t="s">
        <v>500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X348" s="15" t="s">
        <v>648</v>
      </c>
      <c r="AY348" s="15" t="s">
        <v>649</v>
      </c>
    </row>
    <row r="349" spans="1:51" x14ac:dyDescent="0.3">
      <c r="A349" s="34" t="s">
        <v>652</v>
      </c>
      <c r="B349" t="s">
        <v>653</v>
      </c>
      <c r="C349" s="8">
        <v>38.844913599537001</v>
      </c>
      <c r="D349" s="8">
        <v>-0.36416806156926201</v>
      </c>
      <c r="F349" s="10" t="s">
        <v>644</v>
      </c>
      <c r="G349" s="10" t="s">
        <v>54</v>
      </c>
      <c r="H349" s="11">
        <v>-5500</v>
      </c>
      <c r="I349" s="11">
        <v>-5300</v>
      </c>
      <c r="J349" s="10" t="s">
        <v>645</v>
      </c>
      <c r="K349" s="10" t="s">
        <v>646</v>
      </c>
      <c r="L349" s="10" t="s">
        <v>647</v>
      </c>
      <c r="M349" s="10" t="s">
        <v>67</v>
      </c>
      <c r="O349" s="10" t="s">
        <v>60</v>
      </c>
      <c r="P349" s="10" t="s">
        <v>61</v>
      </c>
      <c r="Q349" s="10">
        <v>328</v>
      </c>
      <c r="R349" s="10">
        <v>318</v>
      </c>
      <c r="S349" s="10">
        <f t="shared" si="0"/>
        <v>487</v>
      </c>
      <c r="T349" s="10">
        <v>0</v>
      </c>
      <c r="U349" s="10">
        <v>0</v>
      </c>
      <c r="V349" s="10">
        <v>0</v>
      </c>
      <c r="W349" s="10">
        <v>14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E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4">
        <v>0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X349" s="15" t="s">
        <v>648</v>
      </c>
      <c r="AY349" s="15" t="s">
        <v>649</v>
      </c>
    </row>
    <row r="350" spans="1:51" x14ac:dyDescent="0.3">
      <c r="A350" s="34" t="s">
        <v>654</v>
      </c>
      <c r="B350" t="s">
        <v>653</v>
      </c>
      <c r="C350" s="8">
        <v>38.844913599537001</v>
      </c>
      <c r="D350" s="8">
        <v>-0.36416806156926201</v>
      </c>
      <c r="F350" s="10" t="s">
        <v>644</v>
      </c>
      <c r="G350" s="10" t="s">
        <v>54</v>
      </c>
      <c r="H350" s="11">
        <v>-5300</v>
      </c>
      <c r="I350" s="11">
        <v>-522</v>
      </c>
      <c r="J350" s="10" t="s">
        <v>645</v>
      </c>
      <c r="K350" s="10" t="s">
        <v>646</v>
      </c>
      <c r="L350" s="10" t="s">
        <v>647</v>
      </c>
      <c r="M350" s="10" t="s">
        <v>67</v>
      </c>
      <c r="O350" s="10" t="s">
        <v>60</v>
      </c>
      <c r="P350" s="10" t="s">
        <v>61</v>
      </c>
      <c r="Q350" s="10">
        <v>1886</v>
      </c>
      <c r="R350" s="10">
        <v>1257</v>
      </c>
      <c r="S350" s="9">
        <f t="shared" si="0"/>
        <v>2514.5</v>
      </c>
      <c r="T350" s="10">
        <v>0</v>
      </c>
      <c r="U350" s="10">
        <v>0</v>
      </c>
      <c r="V350" s="10">
        <v>0</v>
      </c>
      <c r="W350" s="10">
        <v>13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E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4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X350" s="15" t="s">
        <v>648</v>
      </c>
      <c r="AY350" s="15" t="s">
        <v>649</v>
      </c>
    </row>
    <row r="351" spans="1:51" x14ac:dyDescent="0.3">
      <c r="A351" s="34" t="s">
        <v>655</v>
      </c>
      <c r="B351" t="s">
        <v>653</v>
      </c>
      <c r="C351" s="8">
        <v>38.844913599537001</v>
      </c>
      <c r="D351" s="8">
        <v>-0.36416806156926201</v>
      </c>
      <c r="F351" s="10" t="s">
        <v>644</v>
      </c>
      <c r="G351" s="10" t="s">
        <v>54</v>
      </c>
      <c r="H351" s="11">
        <v>-5100</v>
      </c>
      <c r="I351" s="11">
        <v>-5000</v>
      </c>
      <c r="J351" s="10" t="s">
        <v>645</v>
      </c>
      <c r="K351" s="10" t="s">
        <v>646</v>
      </c>
      <c r="L351" s="10" t="s">
        <v>651</v>
      </c>
      <c r="M351" s="10" t="s">
        <v>67</v>
      </c>
      <c r="O351" s="10" t="s">
        <v>60</v>
      </c>
      <c r="P351" s="10" t="s">
        <v>61</v>
      </c>
      <c r="Q351" s="10">
        <v>2549</v>
      </c>
      <c r="R351" s="10">
        <v>2767</v>
      </c>
      <c r="S351" s="9">
        <f t="shared" si="0"/>
        <v>3932.5</v>
      </c>
      <c r="T351" s="10">
        <v>0</v>
      </c>
      <c r="U351" s="10">
        <v>0</v>
      </c>
      <c r="V351" s="10">
        <v>0</v>
      </c>
      <c r="W351" s="10">
        <v>15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E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4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X351" s="15" t="s">
        <v>648</v>
      </c>
      <c r="AY351" s="15" t="s">
        <v>649</v>
      </c>
    </row>
    <row r="352" spans="1:51" x14ac:dyDescent="0.3">
      <c r="A352" s="34" t="s">
        <v>656</v>
      </c>
      <c r="B352" t="s">
        <v>657</v>
      </c>
      <c r="C352" s="8">
        <v>38.7105603127739</v>
      </c>
      <c r="D352" s="8">
        <v>-0.50287649602451701</v>
      </c>
      <c r="F352" s="10" t="s">
        <v>644</v>
      </c>
      <c r="G352" s="10" t="s">
        <v>54</v>
      </c>
      <c r="H352" s="11">
        <v>-5600</v>
      </c>
      <c r="I352" s="11">
        <v>-5000</v>
      </c>
      <c r="J352" s="10" t="s">
        <v>645</v>
      </c>
      <c r="K352" s="10" t="s">
        <v>646</v>
      </c>
      <c r="M352" s="10" t="s">
        <v>67</v>
      </c>
      <c r="O352" s="10" t="s">
        <v>60</v>
      </c>
      <c r="P352" s="10" t="s">
        <v>61</v>
      </c>
      <c r="Q352" s="10">
        <v>49</v>
      </c>
      <c r="R352" s="10">
        <v>12</v>
      </c>
      <c r="S352" s="9">
        <f t="shared" si="0"/>
        <v>55</v>
      </c>
      <c r="T352" s="10">
        <v>3</v>
      </c>
      <c r="U352" s="10">
        <v>0</v>
      </c>
      <c r="V352" s="10">
        <v>3</v>
      </c>
      <c r="W352" s="10">
        <v>20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E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4">
        <v>0</v>
      </c>
      <c r="AO352" s="10">
        <v>0</v>
      </c>
      <c r="AP352" s="10">
        <v>0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X352" s="15" t="s">
        <v>648</v>
      </c>
      <c r="AY352" s="15" t="s">
        <v>649</v>
      </c>
    </row>
    <row r="353" spans="1:56" x14ac:dyDescent="0.3">
      <c r="A353" s="34" t="s">
        <v>658</v>
      </c>
      <c r="B353" t="s">
        <v>659</v>
      </c>
      <c r="C353" s="8">
        <v>38.6838087221251</v>
      </c>
      <c r="D353" s="8">
        <v>-0.40183799041325402</v>
      </c>
      <c r="F353" s="10" t="s">
        <v>644</v>
      </c>
      <c r="G353" s="10" t="s">
        <v>54</v>
      </c>
      <c r="H353" s="11">
        <v>-5600</v>
      </c>
      <c r="I353" s="11">
        <v>-5200</v>
      </c>
      <c r="J353" s="10" t="s">
        <v>645</v>
      </c>
      <c r="K353" s="10" t="s">
        <v>646</v>
      </c>
      <c r="L353" s="10" t="s">
        <v>647</v>
      </c>
      <c r="M353" s="10" t="s">
        <v>77</v>
      </c>
      <c r="O353" s="10" t="s">
        <v>60</v>
      </c>
      <c r="P353" s="10" t="s">
        <v>61</v>
      </c>
      <c r="Q353" s="10">
        <v>4</v>
      </c>
      <c r="R353" s="10">
        <v>3</v>
      </c>
      <c r="S353" s="9">
        <f t="shared" si="0"/>
        <v>5.5</v>
      </c>
      <c r="T353" s="10">
        <v>0</v>
      </c>
      <c r="U353" s="10">
        <v>0</v>
      </c>
      <c r="V353" s="10">
        <v>0</v>
      </c>
      <c r="W353" s="10">
        <v>6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E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4">
        <v>0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X353" s="15" t="s">
        <v>648</v>
      </c>
      <c r="AY353" s="15" t="s">
        <v>649</v>
      </c>
    </row>
    <row r="354" spans="1:56" x14ac:dyDescent="0.3">
      <c r="A354" s="34" t="s">
        <v>660</v>
      </c>
      <c r="B354" t="s">
        <v>661</v>
      </c>
      <c r="C354" s="8">
        <v>38.814687766840201</v>
      </c>
      <c r="D354" s="8">
        <v>-0.29749131421052399</v>
      </c>
      <c r="F354" s="10" t="s">
        <v>644</v>
      </c>
      <c r="G354" s="10" t="s">
        <v>54</v>
      </c>
      <c r="H354" s="11">
        <v>-5600</v>
      </c>
      <c r="I354" s="11">
        <v>-5300</v>
      </c>
      <c r="J354" s="10" t="s">
        <v>645</v>
      </c>
      <c r="K354" s="10" t="s">
        <v>646</v>
      </c>
      <c r="M354" s="10" t="s">
        <v>67</v>
      </c>
      <c r="O354" s="10" t="s">
        <v>60</v>
      </c>
      <c r="P354" s="10" t="s">
        <v>61</v>
      </c>
      <c r="Q354" s="10">
        <v>0</v>
      </c>
      <c r="R354" s="10">
        <v>2</v>
      </c>
      <c r="S354" s="9">
        <f t="shared" si="0"/>
        <v>1</v>
      </c>
      <c r="T354" s="10">
        <v>0</v>
      </c>
      <c r="U354" s="10">
        <v>0</v>
      </c>
      <c r="V354" s="10">
        <v>0</v>
      </c>
      <c r="W354" s="10">
        <v>4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E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4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X354" s="15" t="s">
        <v>648</v>
      </c>
      <c r="AY354" s="15" t="s">
        <v>649</v>
      </c>
    </row>
    <row r="355" spans="1:56" x14ac:dyDescent="0.3">
      <c r="A355" s="34" t="s">
        <v>662</v>
      </c>
      <c r="B355" t="s">
        <v>661</v>
      </c>
      <c r="C355" s="8">
        <v>38.814687766840201</v>
      </c>
      <c r="D355" s="8">
        <v>-0.29749131421052399</v>
      </c>
      <c r="F355" s="10" t="s">
        <v>644</v>
      </c>
      <c r="G355" s="10" t="s">
        <v>54</v>
      </c>
      <c r="H355" s="11">
        <v>-5300</v>
      </c>
      <c r="I355" s="11">
        <v>-5000</v>
      </c>
      <c r="J355" s="10" t="s">
        <v>645</v>
      </c>
      <c r="K355" s="10" t="s">
        <v>646</v>
      </c>
      <c r="M355" s="10" t="s">
        <v>67</v>
      </c>
      <c r="O355" s="10" t="s">
        <v>60</v>
      </c>
      <c r="P355" s="10" t="s">
        <v>61</v>
      </c>
      <c r="Q355" s="10">
        <v>1</v>
      </c>
      <c r="R355" s="10">
        <v>5</v>
      </c>
      <c r="S355" s="9">
        <f t="shared" si="0"/>
        <v>3.5</v>
      </c>
      <c r="T355" s="10">
        <v>2</v>
      </c>
      <c r="U355" s="10">
        <v>0</v>
      </c>
      <c r="V355" s="10">
        <v>2</v>
      </c>
      <c r="W355" s="10">
        <v>13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E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4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X355" s="15" t="s">
        <v>648</v>
      </c>
      <c r="AY355" s="15" t="s">
        <v>649</v>
      </c>
    </row>
    <row r="356" spans="1:56" x14ac:dyDescent="0.3">
      <c r="A356" s="34" t="s">
        <v>663</v>
      </c>
      <c r="B356" t="s">
        <v>643</v>
      </c>
      <c r="C356" s="8">
        <v>38.727899879352002</v>
      </c>
      <c r="D356" s="8">
        <v>0.104525987306731</v>
      </c>
      <c r="F356" s="10" t="s">
        <v>644</v>
      </c>
      <c r="G356" s="10" t="s">
        <v>54</v>
      </c>
      <c r="H356" s="11">
        <v>-5000</v>
      </c>
      <c r="I356" s="11">
        <v>-4500</v>
      </c>
      <c r="J356" s="10" t="s">
        <v>664</v>
      </c>
      <c r="K356" s="10" t="s">
        <v>646</v>
      </c>
      <c r="M356" s="10" t="s">
        <v>67</v>
      </c>
      <c r="O356" s="10" t="s">
        <v>60</v>
      </c>
      <c r="P356" s="10" t="s">
        <v>61</v>
      </c>
      <c r="Q356" s="10">
        <v>65</v>
      </c>
      <c r="R356" s="10">
        <v>0</v>
      </c>
      <c r="S356" s="9">
        <v>65</v>
      </c>
      <c r="T356" s="10">
        <v>1</v>
      </c>
      <c r="U356" s="10">
        <v>0</v>
      </c>
      <c r="V356" s="10">
        <v>1</v>
      </c>
      <c r="W356" s="10">
        <v>18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E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4">
        <v>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X356" s="15" t="s">
        <v>648</v>
      </c>
      <c r="AY356" s="15" t="s">
        <v>649</v>
      </c>
    </row>
    <row r="357" spans="1:56" x14ac:dyDescent="0.3">
      <c r="A357" s="34" t="s">
        <v>658</v>
      </c>
      <c r="B357" t="s">
        <v>659</v>
      </c>
      <c r="C357" s="8">
        <v>38.6838087221251</v>
      </c>
      <c r="D357" s="8">
        <v>-0.40183799041325402</v>
      </c>
      <c r="F357" s="10" t="s">
        <v>644</v>
      </c>
      <c r="G357" s="10" t="s">
        <v>54</v>
      </c>
      <c r="H357" s="11">
        <v>-5000</v>
      </c>
      <c r="I357" s="11">
        <v>-4500</v>
      </c>
      <c r="J357" s="10" t="s">
        <v>664</v>
      </c>
      <c r="K357" s="10" t="s">
        <v>646</v>
      </c>
      <c r="M357" s="10" t="s">
        <v>77</v>
      </c>
      <c r="O357" s="10" t="s">
        <v>60</v>
      </c>
      <c r="P357" s="10" t="s">
        <v>61</v>
      </c>
      <c r="Q357" s="10">
        <v>1</v>
      </c>
      <c r="R357" s="10">
        <v>0</v>
      </c>
      <c r="S357" s="9">
        <v>1</v>
      </c>
      <c r="T357" s="10">
        <v>0</v>
      </c>
      <c r="U357" s="10">
        <v>1</v>
      </c>
      <c r="V357" s="10">
        <v>1</v>
      </c>
      <c r="W357" s="10">
        <v>2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E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4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X357" s="15" t="s">
        <v>648</v>
      </c>
      <c r="AY357" s="15" t="s">
        <v>649</v>
      </c>
    </row>
    <row r="358" spans="1:56" x14ac:dyDescent="0.3">
      <c r="A358" s="34" t="s">
        <v>665</v>
      </c>
      <c r="B358" t="s">
        <v>659</v>
      </c>
      <c r="C358" s="8">
        <v>38.6838087221251</v>
      </c>
      <c r="D358" s="8">
        <v>-0.40183799041325402</v>
      </c>
      <c r="F358" s="10" t="s">
        <v>644</v>
      </c>
      <c r="G358" s="10" t="s">
        <v>54</v>
      </c>
      <c r="H358" s="11">
        <v>-5000</v>
      </c>
      <c r="I358" s="11">
        <v>-4700</v>
      </c>
      <c r="J358" s="10" t="s">
        <v>664</v>
      </c>
      <c r="K358" s="10" t="s">
        <v>646</v>
      </c>
      <c r="M358" s="10" t="s">
        <v>67</v>
      </c>
      <c r="O358" s="10" t="s">
        <v>60</v>
      </c>
      <c r="P358" s="10" t="s">
        <v>61</v>
      </c>
      <c r="Q358" s="10">
        <v>7</v>
      </c>
      <c r="R358" s="10">
        <v>2</v>
      </c>
      <c r="S358" s="9">
        <f>Q358+(R358/2)</f>
        <v>8</v>
      </c>
      <c r="T358" s="10">
        <v>0</v>
      </c>
      <c r="U358" s="10">
        <v>0</v>
      </c>
      <c r="V358" s="10">
        <v>0</v>
      </c>
      <c r="W358" s="10">
        <v>8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E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4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X358" s="15" t="s">
        <v>648</v>
      </c>
      <c r="AY358" s="15" t="s">
        <v>649</v>
      </c>
    </row>
    <row r="359" spans="1:56" x14ac:dyDescent="0.3">
      <c r="A359" s="34" t="s">
        <v>666</v>
      </c>
      <c r="B359" t="s">
        <v>659</v>
      </c>
      <c r="C359" s="8">
        <v>38.6838087221251</v>
      </c>
      <c r="D359" s="8">
        <v>-0.40183799041325402</v>
      </c>
      <c r="F359" s="10" t="s">
        <v>644</v>
      </c>
      <c r="G359" s="10" t="s">
        <v>54</v>
      </c>
      <c r="H359" s="11">
        <v>-4700</v>
      </c>
      <c r="I359" s="11">
        <v>-4400</v>
      </c>
      <c r="J359" s="10" t="s">
        <v>664</v>
      </c>
      <c r="K359" s="10" t="s">
        <v>646</v>
      </c>
      <c r="M359" s="10" t="s">
        <v>67</v>
      </c>
      <c r="O359" s="10" t="s">
        <v>60</v>
      </c>
      <c r="P359" s="10" t="s">
        <v>61</v>
      </c>
      <c r="Q359" s="10">
        <v>0</v>
      </c>
      <c r="R359" s="10">
        <v>0</v>
      </c>
      <c r="S359" s="9">
        <v>0</v>
      </c>
      <c r="T359" s="10">
        <v>0</v>
      </c>
      <c r="U359" s="10">
        <v>0</v>
      </c>
      <c r="V359" s="10">
        <v>0</v>
      </c>
      <c r="W359" s="10">
        <v>1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E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4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X359" s="15" t="s">
        <v>648</v>
      </c>
      <c r="AY359" s="15" t="s">
        <v>649</v>
      </c>
    </row>
    <row r="360" spans="1:56" x14ac:dyDescent="0.3">
      <c r="A360" s="34" t="s">
        <v>667</v>
      </c>
      <c r="B360" t="s">
        <v>668</v>
      </c>
      <c r="C360" s="8">
        <v>38.3558465320097</v>
      </c>
      <c r="D360" s="8">
        <v>-0.490554571151957</v>
      </c>
      <c r="F360" s="10" t="s">
        <v>644</v>
      </c>
      <c r="G360" s="10" t="s">
        <v>54</v>
      </c>
      <c r="H360" s="11">
        <v>-4900</v>
      </c>
      <c r="I360" s="11">
        <v>-4500</v>
      </c>
      <c r="J360" s="10" t="s">
        <v>664</v>
      </c>
      <c r="K360" s="10" t="s">
        <v>646</v>
      </c>
      <c r="M360" s="10" t="s">
        <v>77</v>
      </c>
      <c r="O360" s="10" t="s">
        <v>60</v>
      </c>
      <c r="P360" s="10" t="s">
        <v>61</v>
      </c>
      <c r="Q360" s="10">
        <v>7</v>
      </c>
      <c r="R360" s="10">
        <v>8</v>
      </c>
      <c r="S360" s="9">
        <f t="shared" ref="S360:S390" si="1">Q360+(R360/2)</f>
        <v>11</v>
      </c>
      <c r="T360" s="10">
        <v>0</v>
      </c>
      <c r="U360" s="10">
        <v>0</v>
      </c>
      <c r="V360" s="10">
        <v>0</v>
      </c>
      <c r="W360" s="10">
        <v>74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E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4">
        <v>0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X360" s="15" t="s">
        <v>648</v>
      </c>
      <c r="AY360" s="15" t="s">
        <v>649</v>
      </c>
    </row>
    <row r="361" spans="1:56" x14ac:dyDescent="0.3">
      <c r="A361" t="s">
        <v>669</v>
      </c>
      <c r="B361" t="s">
        <v>670</v>
      </c>
      <c r="C361" s="50">
        <v>38.230736</v>
      </c>
      <c r="D361" s="51">
        <v>-0.79699500000000001</v>
      </c>
      <c r="E361" s="52">
        <v>540</v>
      </c>
      <c r="F361" s="10" t="s">
        <v>644</v>
      </c>
      <c r="G361" s="10" t="s">
        <v>54</v>
      </c>
      <c r="H361">
        <v>-900</v>
      </c>
      <c r="I361">
        <v>-725</v>
      </c>
      <c r="J361" s="36" t="s">
        <v>195</v>
      </c>
      <c r="K361" s="53" t="s">
        <v>57</v>
      </c>
      <c r="L361"/>
      <c r="M361" t="s">
        <v>73</v>
      </c>
      <c r="N361"/>
      <c r="O361" s="10" t="s">
        <v>60</v>
      </c>
      <c r="P361" s="10" t="s">
        <v>61</v>
      </c>
      <c r="Q361" s="10">
        <v>115</v>
      </c>
      <c r="R361" s="10">
        <v>0</v>
      </c>
      <c r="S361" s="9">
        <f t="shared" si="1"/>
        <v>115</v>
      </c>
      <c r="T361" s="10">
        <v>0</v>
      </c>
      <c r="U361" s="10">
        <v>0</v>
      </c>
      <c r="V361" s="9">
        <f t="shared" ref="V361:V390" si="2">T361+(U361/2)</f>
        <v>0</v>
      </c>
      <c r="W361" s="10">
        <v>1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E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O361" s="10">
        <v>0</v>
      </c>
      <c r="AP361" s="10">
        <v>0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X361" s="53" t="s">
        <v>671</v>
      </c>
      <c r="AY361" s="53" t="s">
        <v>672</v>
      </c>
      <c r="AZ361" s="10"/>
      <c r="BA361" s="10"/>
      <c r="BC361" s="15"/>
      <c r="BD361" s="15"/>
    </row>
    <row r="362" spans="1:56" x14ac:dyDescent="0.3">
      <c r="A362" t="s">
        <v>673</v>
      </c>
      <c r="B362" t="s">
        <v>674</v>
      </c>
      <c r="C362" s="50">
        <v>41.492105000000002</v>
      </c>
      <c r="D362" s="51">
        <v>2.1251890000000002</v>
      </c>
      <c r="E362" s="52">
        <v>136</v>
      </c>
      <c r="F362" s="10" t="s">
        <v>644</v>
      </c>
      <c r="G362" s="10" t="s">
        <v>54</v>
      </c>
      <c r="H362">
        <v>-500</v>
      </c>
      <c r="I362">
        <v>-200</v>
      </c>
      <c r="J362" s="36" t="s">
        <v>675</v>
      </c>
      <c r="K362" s="53" t="s">
        <v>300</v>
      </c>
      <c r="L362"/>
      <c r="M362" t="s">
        <v>73</v>
      </c>
      <c r="N362"/>
      <c r="O362" s="10" t="s">
        <v>60</v>
      </c>
      <c r="P362" s="10" t="s">
        <v>61</v>
      </c>
      <c r="Q362" s="10">
        <v>1616</v>
      </c>
      <c r="R362" s="10">
        <v>560</v>
      </c>
      <c r="S362" s="9">
        <f t="shared" si="1"/>
        <v>1896</v>
      </c>
      <c r="T362" s="10">
        <v>19</v>
      </c>
      <c r="U362" s="10">
        <v>6</v>
      </c>
      <c r="V362" s="9">
        <f t="shared" si="2"/>
        <v>22</v>
      </c>
      <c r="W362" s="10">
        <v>8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E362" s="10">
        <v>0</v>
      </c>
      <c r="AG362" s="10">
        <v>1</v>
      </c>
      <c r="AH362" s="10">
        <v>2</v>
      </c>
      <c r="AI362" s="10">
        <v>0</v>
      </c>
      <c r="AJ362" s="10">
        <v>2</v>
      </c>
      <c r="AK362" s="10">
        <v>0</v>
      </c>
      <c r="AL362" s="10">
        <v>2</v>
      </c>
      <c r="AM362" s="10">
        <v>0</v>
      </c>
      <c r="AN362" s="10" t="s">
        <v>62</v>
      </c>
      <c r="AO362" s="10">
        <v>0</v>
      </c>
      <c r="AP362" s="10">
        <v>0</v>
      </c>
      <c r="AQ362" s="10">
        <v>0</v>
      </c>
      <c r="AR362" s="10">
        <v>0</v>
      </c>
      <c r="AS362" s="10">
        <v>0</v>
      </c>
      <c r="AT362" s="10">
        <v>0</v>
      </c>
      <c r="AU362" s="10">
        <v>0</v>
      </c>
      <c r="AX362" s="53" t="s">
        <v>676</v>
      </c>
      <c r="AY362" s="53" t="s">
        <v>677</v>
      </c>
      <c r="AZ362" s="10"/>
      <c r="BA362" s="10"/>
      <c r="BC362" s="15"/>
      <c r="BD362" s="15"/>
    </row>
    <row r="363" spans="1:56" x14ac:dyDescent="0.3">
      <c r="A363" t="s">
        <v>678</v>
      </c>
      <c r="B363" t="s">
        <v>679</v>
      </c>
      <c r="C363" s="50">
        <v>38.643304000000001</v>
      </c>
      <c r="D363" s="51">
        <v>-0.89094799999999996</v>
      </c>
      <c r="E363" s="52">
        <v>579</v>
      </c>
      <c r="F363" s="10" t="s">
        <v>644</v>
      </c>
      <c r="G363" s="10" t="s">
        <v>54</v>
      </c>
      <c r="H363">
        <v>-1700</v>
      </c>
      <c r="I363">
        <v>-1350</v>
      </c>
      <c r="J363" s="36" t="s">
        <v>132</v>
      </c>
      <c r="K363" s="53" t="s">
        <v>57</v>
      </c>
      <c r="L363"/>
      <c r="M363" t="s">
        <v>73</v>
      </c>
      <c r="N363"/>
      <c r="O363" s="10" t="s">
        <v>60</v>
      </c>
      <c r="P363" s="10" t="s">
        <v>61</v>
      </c>
      <c r="Q363" s="10">
        <v>6165</v>
      </c>
      <c r="R363" s="10">
        <v>16514</v>
      </c>
      <c r="S363" s="9">
        <f t="shared" si="1"/>
        <v>14422</v>
      </c>
      <c r="T363" s="10">
        <v>1</v>
      </c>
      <c r="U363" s="10">
        <v>0</v>
      </c>
      <c r="V363" s="9">
        <f t="shared" si="2"/>
        <v>1</v>
      </c>
      <c r="W363" s="10">
        <v>10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E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/>
      <c r="AX363" s="53" t="s">
        <v>671</v>
      </c>
      <c r="AY363" s="53" t="s">
        <v>672</v>
      </c>
      <c r="AZ363" s="10"/>
      <c r="BB363" s="15"/>
      <c r="BC363" s="15"/>
    </row>
    <row r="364" spans="1:56" x14ac:dyDescent="0.3">
      <c r="A364" t="s">
        <v>680</v>
      </c>
      <c r="B364" t="s">
        <v>674</v>
      </c>
      <c r="C364" s="50">
        <v>41.495319000000002</v>
      </c>
      <c r="D364" s="51">
        <v>2.1182650000000001</v>
      </c>
      <c r="E364" s="52">
        <v>32</v>
      </c>
      <c r="F364" s="10" t="s">
        <v>644</v>
      </c>
      <c r="G364" s="10" t="s">
        <v>54</v>
      </c>
      <c r="H364">
        <v>-500</v>
      </c>
      <c r="I364">
        <v>-200</v>
      </c>
      <c r="J364" s="36" t="s">
        <v>675</v>
      </c>
      <c r="K364" s="53" t="s">
        <v>300</v>
      </c>
      <c r="L364"/>
      <c r="M364" t="s">
        <v>73</v>
      </c>
      <c r="N364"/>
      <c r="O364" s="10" t="s">
        <v>60</v>
      </c>
      <c r="P364" s="10" t="s">
        <v>61</v>
      </c>
      <c r="Q364" s="10">
        <v>233</v>
      </c>
      <c r="R364" s="10">
        <v>21</v>
      </c>
      <c r="S364" s="9">
        <f t="shared" si="1"/>
        <v>243.5</v>
      </c>
      <c r="T364" s="10">
        <v>14</v>
      </c>
      <c r="U364" s="10">
        <v>0</v>
      </c>
      <c r="V364" s="9">
        <f t="shared" si="2"/>
        <v>14</v>
      </c>
      <c r="W364" s="10">
        <v>41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E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X364" s="53" t="s">
        <v>676</v>
      </c>
      <c r="AY364" s="53" t="s">
        <v>677</v>
      </c>
      <c r="AZ364" s="10"/>
      <c r="BA364" s="10"/>
      <c r="BC364" s="15"/>
      <c r="BD364" s="15"/>
    </row>
    <row r="365" spans="1:56" x14ac:dyDescent="0.3">
      <c r="A365" t="s">
        <v>681</v>
      </c>
      <c r="B365" t="s">
        <v>682</v>
      </c>
      <c r="C365" s="50">
        <v>36.618676000000001</v>
      </c>
      <c r="D365" s="51">
        <v>-6.1682030000000001</v>
      </c>
      <c r="E365" s="52">
        <v>31</v>
      </c>
      <c r="F365" s="10" t="s">
        <v>644</v>
      </c>
      <c r="G365" s="10" t="s">
        <v>54</v>
      </c>
      <c r="H365">
        <v>-750</v>
      </c>
      <c r="I365">
        <v>-500</v>
      </c>
      <c r="J365" s="36" t="s">
        <v>299</v>
      </c>
      <c r="K365" s="53" t="s">
        <v>300</v>
      </c>
      <c r="L365"/>
      <c r="M365" t="s">
        <v>73</v>
      </c>
      <c r="N365"/>
      <c r="O365" s="10" t="s">
        <v>60</v>
      </c>
      <c r="P365" s="10" t="s">
        <v>84</v>
      </c>
      <c r="Q365" s="10">
        <v>476</v>
      </c>
      <c r="R365" s="10">
        <v>0</v>
      </c>
      <c r="S365" s="9">
        <f t="shared" si="1"/>
        <v>476</v>
      </c>
      <c r="T365" s="10">
        <v>48</v>
      </c>
      <c r="U365" s="10">
        <v>0</v>
      </c>
      <c r="V365" s="9">
        <f t="shared" si="2"/>
        <v>48</v>
      </c>
      <c r="W365" s="10">
        <v>3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E365" s="10">
        <v>0</v>
      </c>
      <c r="AG365" s="10">
        <v>1</v>
      </c>
      <c r="AH365" s="10">
        <v>13</v>
      </c>
      <c r="AI365" s="10">
        <v>0</v>
      </c>
      <c r="AJ365" s="10">
        <v>13</v>
      </c>
      <c r="AK365" s="10">
        <v>0</v>
      </c>
      <c r="AL365" s="10">
        <v>3</v>
      </c>
      <c r="AM365" s="10">
        <v>0</v>
      </c>
      <c r="AN365" s="10" t="s">
        <v>62</v>
      </c>
      <c r="AO365" s="10">
        <v>1</v>
      </c>
      <c r="AP365" s="10">
        <v>8</v>
      </c>
      <c r="AQ365" s="10">
        <v>0</v>
      </c>
      <c r="AR365" s="10">
        <v>0</v>
      </c>
      <c r="AS365" s="10">
        <v>0</v>
      </c>
      <c r="AT365" s="10">
        <v>1</v>
      </c>
      <c r="AU365" s="10">
        <v>0</v>
      </c>
      <c r="AV365" s="10" t="s">
        <v>62</v>
      </c>
      <c r="AX365" s="53" t="s">
        <v>683</v>
      </c>
      <c r="AY365" s="53" t="s">
        <v>684</v>
      </c>
      <c r="AZ365" s="10"/>
      <c r="BA365" s="10"/>
      <c r="BC365" s="15"/>
      <c r="BD365" s="15"/>
    </row>
    <row r="366" spans="1:56" x14ac:dyDescent="0.3">
      <c r="A366" t="s">
        <v>685</v>
      </c>
      <c r="B366" t="s">
        <v>686</v>
      </c>
      <c r="C366" s="50">
        <v>37.246612148088701</v>
      </c>
      <c r="D366" s="51">
        <v>-1.9133551419621999</v>
      </c>
      <c r="E366" s="52">
        <v>675</v>
      </c>
      <c r="F366" s="10" t="s">
        <v>644</v>
      </c>
      <c r="G366" s="10" t="s">
        <v>54</v>
      </c>
      <c r="H366">
        <v>-2200</v>
      </c>
      <c r="I366">
        <v>-1500</v>
      </c>
      <c r="J366" s="36" t="s">
        <v>56</v>
      </c>
      <c r="K366" s="53" t="s">
        <v>57</v>
      </c>
      <c r="L366"/>
      <c r="M366" t="s">
        <v>73</v>
      </c>
      <c r="N366"/>
      <c r="O366" s="10" t="s">
        <v>60</v>
      </c>
      <c r="P366" s="10" t="s">
        <v>61</v>
      </c>
      <c r="Q366" s="10">
        <v>180</v>
      </c>
      <c r="R366" s="10">
        <v>0</v>
      </c>
      <c r="S366" s="9">
        <f t="shared" si="1"/>
        <v>180</v>
      </c>
      <c r="T366" s="10">
        <v>2</v>
      </c>
      <c r="U366" s="10">
        <v>0</v>
      </c>
      <c r="V366" s="9">
        <f t="shared" si="2"/>
        <v>2</v>
      </c>
      <c r="W366" s="10">
        <v>14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E366" s="10">
        <v>0</v>
      </c>
      <c r="AG366" s="10">
        <v>1</v>
      </c>
      <c r="AH366" s="10">
        <v>1</v>
      </c>
      <c r="AI366" s="10">
        <v>0</v>
      </c>
      <c r="AJ366" s="10">
        <v>1</v>
      </c>
      <c r="AK366" s="10">
        <v>0</v>
      </c>
      <c r="AL366" s="10">
        <v>1</v>
      </c>
      <c r="AM366" s="10">
        <v>0</v>
      </c>
      <c r="AN366" s="10" t="s">
        <v>84</v>
      </c>
      <c r="AO366" s="10">
        <v>0</v>
      </c>
      <c r="AP366" s="10">
        <v>0</v>
      </c>
      <c r="AQ366" s="10">
        <v>0</v>
      </c>
      <c r="AR366" s="10">
        <v>0</v>
      </c>
      <c r="AS366" s="10">
        <v>0</v>
      </c>
      <c r="AT366" s="10">
        <v>0</v>
      </c>
      <c r="AU366" s="10">
        <v>0</v>
      </c>
      <c r="AX366" s="53" t="s">
        <v>687</v>
      </c>
      <c r="AY366" s="53" t="s">
        <v>688</v>
      </c>
      <c r="AZ366" s="10"/>
      <c r="BA366" s="10"/>
      <c r="BC366" s="15"/>
      <c r="BD366" s="15"/>
    </row>
    <row r="367" spans="1:56" x14ac:dyDescent="0.3">
      <c r="A367" t="s">
        <v>689</v>
      </c>
      <c r="B367" t="s">
        <v>657</v>
      </c>
      <c r="C367" s="50">
        <v>38.666679999999999</v>
      </c>
      <c r="D367" s="51">
        <v>-0.47019100000000003</v>
      </c>
      <c r="E367" s="52">
        <v>888</v>
      </c>
      <c r="F367" s="10" t="s">
        <v>644</v>
      </c>
      <c r="G367" s="10" t="s">
        <v>54</v>
      </c>
      <c r="H367">
        <v>-430</v>
      </c>
      <c r="I367">
        <v>-300</v>
      </c>
      <c r="J367" s="36" t="s">
        <v>675</v>
      </c>
      <c r="K367" s="53" t="s">
        <v>300</v>
      </c>
      <c r="L367"/>
      <c r="M367" t="s">
        <v>73</v>
      </c>
      <c r="N367"/>
      <c r="O367" s="10" t="s">
        <v>60</v>
      </c>
      <c r="P367" s="10" t="s">
        <v>61</v>
      </c>
      <c r="Q367" s="10">
        <v>549</v>
      </c>
      <c r="R367" s="10">
        <v>271</v>
      </c>
      <c r="S367" s="9">
        <f t="shared" si="1"/>
        <v>684.5</v>
      </c>
      <c r="T367" s="10">
        <v>0</v>
      </c>
      <c r="U367" s="10">
        <v>0</v>
      </c>
      <c r="V367" s="9">
        <f t="shared" si="2"/>
        <v>0</v>
      </c>
      <c r="W367" s="10">
        <v>5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E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0">
        <v>0</v>
      </c>
      <c r="AT367" s="10">
        <v>0</v>
      </c>
      <c r="AU367" s="10">
        <v>0</v>
      </c>
      <c r="AX367" s="53" t="s">
        <v>690</v>
      </c>
      <c r="AY367" s="53" t="s">
        <v>672</v>
      </c>
      <c r="AZ367" s="10"/>
      <c r="BA367" s="10"/>
      <c r="BC367" s="15"/>
      <c r="BD367" s="15"/>
    </row>
    <row r="368" spans="1:56" x14ac:dyDescent="0.3">
      <c r="A368" t="s">
        <v>691</v>
      </c>
      <c r="B368" t="s">
        <v>692</v>
      </c>
      <c r="C368" s="50">
        <v>41.803456558192302</v>
      </c>
      <c r="D368" s="51">
        <v>2.7324164012478498</v>
      </c>
      <c r="E368" s="52">
        <v>767</v>
      </c>
      <c r="F368" s="10" t="s">
        <v>644</v>
      </c>
      <c r="G368" s="10" t="s">
        <v>54</v>
      </c>
      <c r="H368">
        <v>-500</v>
      </c>
      <c r="I368">
        <v>-200</v>
      </c>
      <c r="J368" s="36" t="s">
        <v>675</v>
      </c>
      <c r="K368" s="53" t="s">
        <v>300</v>
      </c>
      <c r="L368"/>
      <c r="M368" t="s">
        <v>73</v>
      </c>
      <c r="N368"/>
      <c r="O368" s="10" t="s">
        <v>60</v>
      </c>
      <c r="P368" s="10" t="s">
        <v>61</v>
      </c>
      <c r="Q368" s="10">
        <v>3</v>
      </c>
      <c r="R368" s="10">
        <v>1</v>
      </c>
      <c r="S368" s="9">
        <f t="shared" si="1"/>
        <v>3.5</v>
      </c>
      <c r="T368" s="10">
        <v>1</v>
      </c>
      <c r="U368" s="10">
        <v>0</v>
      </c>
      <c r="V368" s="9">
        <f t="shared" si="2"/>
        <v>1</v>
      </c>
      <c r="W368" s="10">
        <v>2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E368" s="10">
        <v>0</v>
      </c>
      <c r="AG368" s="10">
        <v>1</v>
      </c>
      <c r="AH368" s="10">
        <v>1</v>
      </c>
      <c r="AI368" s="10">
        <v>0</v>
      </c>
      <c r="AJ368" s="10">
        <v>1</v>
      </c>
      <c r="AK368" s="10">
        <v>0</v>
      </c>
      <c r="AL368" s="10">
        <v>1</v>
      </c>
      <c r="AM368" s="10">
        <v>0</v>
      </c>
      <c r="AN368" s="10" t="s">
        <v>62</v>
      </c>
      <c r="AO368" s="10">
        <v>0</v>
      </c>
      <c r="AP368" s="10">
        <v>0</v>
      </c>
      <c r="AQ368" s="10">
        <v>0</v>
      </c>
      <c r="AR368" s="10">
        <v>0</v>
      </c>
      <c r="AS368" s="10">
        <v>0</v>
      </c>
      <c r="AT368" s="10">
        <v>0</v>
      </c>
      <c r="AU368" s="10">
        <v>0</v>
      </c>
      <c r="AX368" s="53" t="s">
        <v>693</v>
      </c>
      <c r="AY368" s="53" t="s">
        <v>694</v>
      </c>
      <c r="AZ368" s="10"/>
      <c r="BA368" s="10"/>
      <c r="BC368" s="15"/>
      <c r="BD368" s="15"/>
    </row>
    <row r="369" spans="1:56" x14ac:dyDescent="0.3">
      <c r="A369" t="s">
        <v>695</v>
      </c>
      <c r="B369" t="s">
        <v>696</v>
      </c>
      <c r="C369" s="50">
        <v>37.261532635338199</v>
      </c>
      <c r="D369" s="51">
        <v>-1.89886151776323</v>
      </c>
      <c r="E369" s="52">
        <v>395</v>
      </c>
      <c r="F369" s="10" t="s">
        <v>644</v>
      </c>
      <c r="G369" s="10" t="s">
        <v>54</v>
      </c>
      <c r="H369">
        <v>-2200</v>
      </c>
      <c r="I369">
        <v>-1500</v>
      </c>
      <c r="J369" s="36" t="s">
        <v>56</v>
      </c>
      <c r="K369" s="53" t="s">
        <v>57</v>
      </c>
      <c r="L369"/>
      <c r="M369" t="s">
        <v>73</v>
      </c>
      <c r="N369"/>
      <c r="O369" s="10" t="s">
        <v>60</v>
      </c>
      <c r="P369" s="10" t="s">
        <v>61</v>
      </c>
      <c r="Q369" s="10">
        <v>814</v>
      </c>
      <c r="R369" s="10">
        <v>0</v>
      </c>
      <c r="S369" s="9">
        <f t="shared" si="1"/>
        <v>814</v>
      </c>
      <c r="T369" s="10">
        <v>16</v>
      </c>
      <c r="U369" s="10">
        <v>0</v>
      </c>
      <c r="V369" s="9">
        <f t="shared" si="2"/>
        <v>16</v>
      </c>
      <c r="W369" s="10">
        <v>11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E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0">
        <v>0</v>
      </c>
      <c r="AT369" s="10">
        <v>0</v>
      </c>
      <c r="AU369" s="10">
        <v>0</v>
      </c>
      <c r="AX369" s="53" t="s">
        <v>697</v>
      </c>
      <c r="AY369" s="53" t="s">
        <v>688</v>
      </c>
      <c r="AZ369" s="10"/>
      <c r="BA369" s="10"/>
      <c r="BC369" s="15"/>
      <c r="BD369" s="15"/>
    </row>
    <row r="370" spans="1:56" x14ac:dyDescent="0.3">
      <c r="A370" t="s">
        <v>695</v>
      </c>
      <c r="B370" t="s">
        <v>696</v>
      </c>
      <c r="C370" s="50">
        <v>37.261532635338199</v>
      </c>
      <c r="D370" s="51">
        <v>-1.89886151776323</v>
      </c>
      <c r="E370" s="52">
        <v>395</v>
      </c>
      <c r="F370" s="10" t="s">
        <v>644</v>
      </c>
      <c r="G370" s="10" t="s">
        <v>54</v>
      </c>
      <c r="H370">
        <v>-1500</v>
      </c>
      <c r="I370">
        <v>-1000</v>
      </c>
      <c r="J370" s="36" t="s">
        <v>132</v>
      </c>
      <c r="K370" s="53" t="s">
        <v>57</v>
      </c>
      <c r="L370"/>
      <c r="M370" t="s">
        <v>73</v>
      </c>
      <c r="N370"/>
      <c r="O370" s="10" t="s">
        <v>60</v>
      </c>
      <c r="P370" s="10" t="s">
        <v>61</v>
      </c>
      <c r="Q370" s="10">
        <v>49</v>
      </c>
      <c r="R370" s="10">
        <v>0</v>
      </c>
      <c r="S370" s="9">
        <f t="shared" si="1"/>
        <v>49</v>
      </c>
      <c r="T370" s="10">
        <v>1</v>
      </c>
      <c r="U370" s="10">
        <v>0</v>
      </c>
      <c r="V370" s="9">
        <f t="shared" si="2"/>
        <v>1</v>
      </c>
      <c r="W370" s="10">
        <v>8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E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0">
        <v>0</v>
      </c>
      <c r="AT370" s="10">
        <v>0</v>
      </c>
      <c r="AU370" s="10">
        <v>0</v>
      </c>
      <c r="AX370" s="53" t="s">
        <v>697</v>
      </c>
      <c r="AY370" s="53" t="s">
        <v>688</v>
      </c>
      <c r="AZ370" s="10"/>
      <c r="BA370" s="10"/>
      <c r="BC370" s="15"/>
      <c r="BD370" s="15"/>
    </row>
    <row r="371" spans="1:56" x14ac:dyDescent="0.3">
      <c r="A371" t="s">
        <v>698</v>
      </c>
      <c r="B371" t="s">
        <v>699</v>
      </c>
      <c r="C371" s="50">
        <v>42.0025343336956</v>
      </c>
      <c r="D371" s="51">
        <v>2.2747187977017802</v>
      </c>
      <c r="E371" s="52">
        <v>461</v>
      </c>
      <c r="F371" s="10" t="s">
        <v>644</v>
      </c>
      <c r="G371" s="10" t="s">
        <v>54</v>
      </c>
      <c r="H371">
        <v>-2000</v>
      </c>
      <c r="I371">
        <v>-1800</v>
      </c>
      <c r="J371" s="36" t="s">
        <v>56</v>
      </c>
      <c r="K371" s="53" t="s">
        <v>57</v>
      </c>
      <c r="L371"/>
      <c r="M371" t="s">
        <v>59</v>
      </c>
      <c r="N371"/>
      <c r="O371" s="10" t="s">
        <v>60</v>
      </c>
      <c r="P371" s="10" t="s">
        <v>61</v>
      </c>
      <c r="Q371" s="10">
        <v>84</v>
      </c>
      <c r="R371" s="10">
        <v>0</v>
      </c>
      <c r="S371" s="9">
        <f t="shared" si="1"/>
        <v>84</v>
      </c>
      <c r="T371" s="10">
        <v>3</v>
      </c>
      <c r="U371" s="10">
        <v>0</v>
      </c>
      <c r="V371" s="9">
        <f t="shared" si="2"/>
        <v>3</v>
      </c>
      <c r="W371" s="10">
        <v>15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E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X371" s="54" t="s">
        <v>700</v>
      </c>
      <c r="AY371" s="53" t="s">
        <v>701</v>
      </c>
      <c r="AZ371" s="10"/>
      <c r="BA371" s="10"/>
      <c r="BC371" s="15"/>
      <c r="BD371" s="15"/>
    </row>
    <row r="372" spans="1:56" x14ac:dyDescent="0.3">
      <c r="A372" t="s">
        <v>702</v>
      </c>
      <c r="B372" t="s">
        <v>703</v>
      </c>
      <c r="C372" s="50">
        <v>38.098460000000003</v>
      </c>
      <c r="D372" s="51">
        <v>-0.64851300000000001</v>
      </c>
      <c r="E372" s="52">
        <v>20</v>
      </c>
      <c r="F372" s="10" t="s">
        <v>644</v>
      </c>
      <c r="G372" s="10" t="s">
        <v>54</v>
      </c>
      <c r="H372">
        <v>-725</v>
      </c>
      <c r="I372">
        <v>-500</v>
      </c>
      <c r="J372" s="36" t="s">
        <v>299</v>
      </c>
      <c r="K372" s="53" t="s">
        <v>300</v>
      </c>
      <c r="L372"/>
      <c r="M372" t="s">
        <v>421</v>
      </c>
      <c r="N372"/>
      <c r="O372" s="10" t="s">
        <v>60</v>
      </c>
      <c r="P372" s="10" t="s">
        <v>61</v>
      </c>
      <c r="Q372" s="10">
        <v>98</v>
      </c>
      <c r="R372" s="10">
        <v>0</v>
      </c>
      <c r="S372" s="9">
        <f t="shared" si="1"/>
        <v>98</v>
      </c>
      <c r="T372" s="10">
        <v>4</v>
      </c>
      <c r="U372" s="10">
        <v>0</v>
      </c>
      <c r="V372" s="9">
        <f t="shared" si="2"/>
        <v>4</v>
      </c>
      <c r="W372" s="10">
        <v>38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E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X372" s="53" t="s">
        <v>671</v>
      </c>
      <c r="AY372" s="53" t="s">
        <v>672</v>
      </c>
      <c r="AZ372" s="10"/>
      <c r="BA372" s="10"/>
      <c r="BC372" s="15"/>
      <c r="BD372" s="15"/>
    </row>
    <row r="373" spans="1:56" x14ac:dyDescent="0.3">
      <c r="A373" t="s">
        <v>704</v>
      </c>
      <c r="B373" t="s">
        <v>705</v>
      </c>
      <c r="C373" s="50">
        <v>38.783543000000002</v>
      </c>
      <c r="D373" s="51">
        <v>-0.49929699999999999</v>
      </c>
      <c r="E373" s="52">
        <v>791</v>
      </c>
      <c r="F373" s="10" t="s">
        <v>644</v>
      </c>
      <c r="G373" s="10" t="s">
        <v>54</v>
      </c>
      <c r="H373">
        <v>-2300</v>
      </c>
      <c r="I373">
        <v>-2100</v>
      </c>
      <c r="J373" s="36" t="s">
        <v>706</v>
      </c>
      <c r="K373" s="53" t="s">
        <v>646</v>
      </c>
      <c r="L373"/>
      <c r="M373" t="s">
        <v>73</v>
      </c>
      <c r="N373"/>
      <c r="O373" s="10" t="s">
        <v>60</v>
      </c>
      <c r="P373" s="10" t="s">
        <v>61</v>
      </c>
      <c r="Q373" s="10">
        <v>6391</v>
      </c>
      <c r="R373" s="10">
        <v>4076</v>
      </c>
      <c r="S373" s="9">
        <f t="shared" si="1"/>
        <v>8429</v>
      </c>
      <c r="T373" s="10">
        <v>122</v>
      </c>
      <c r="U373" s="10">
        <v>0</v>
      </c>
      <c r="V373" s="9">
        <f t="shared" si="2"/>
        <v>122</v>
      </c>
      <c r="W373" s="10">
        <v>24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E373" s="10">
        <v>0</v>
      </c>
      <c r="AG373" s="10">
        <v>1</v>
      </c>
      <c r="AH373" s="10">
        <v>21</v>
      </c>
      <c r="AI373" s="10">
        <v>0</v>
      </c>
      <c r="AJ373" s="10">
        <v>21</v>
      </c>
      <c r="AK373" s="10">
        <v>0</v>
      </c>
      <c r="AL373" s="10">
        <v>3</v>
      </c>
      <c r="AM373" s="10">
        <v>0</v>
      </c>
      <c r="AN373" s="10" t="s">
        <v>62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X373" s="53" t="s">
        <v>671</v>
      </c>
      <c r="AY373" s="53" t="s">
        <v>672</v>
      </c>
      <c r="AZ373" s="10"/>
      <c r="BA373" s="10"/>
      <c r="BC373" s="15"/>
      <c r="BD373" s="15"/>
    </row>
    <row r="374" spans="1:56" x14ac:dyDescent="0.3">
      <c r="A374" t="s">
        <v>707</v>
      </c>
      <c r="B374" t="s">
        <v>708</v>
      </c>
      <c r="C374" s="50">
        <v>41.491430999999999</v>
      </c>
      <c r="D374" s="51">
        <v>2.1951930000000002</v>
      </c>
      <c r="E374" s="52">
        <v>462</v>
      </c>
      <c r="F374" s="10" t="s">
        <v>644</v>
      </c>
      <c r="G374" s="10" t="s">
        <v>54</v>
      </c>
      <c r="H374">
        <v>-400</v>
      </c>
      <c r="I374">
        <v>-200</v>
      </c>
      <c r="J374" s="36" t="s">
        <v>675</v>
      </c>
      <c r="K374" s="53" t="s">
        <v>300</v>
      </c>
      <c r="L374"/>
      <c r="M374" t="s">
        <v>73</v>
      </c>
      <c r="N374"/>
      <c r="O374" s="10" t="s">
        <v>60</v>
      </c>
      <c r="P374" s="10" t="s">
        <v>61</v>
      </c>
      <c r="Q374" s="10">
        <v>972</v>
      </c>
      <c r="R374" s="10">
        <v>293</v>
      </c>
      <c r="S374" s="9">
        <f t="shared" si="1"/>
        <v>1118.5</v>
      </c>
      <c r="T374" s="10">
        <v>62</v>
      </c>
      <c r="U374" s="10">
        <v>54</v>
      </c>
      <c r="V374" s="9">
        <f t="shared" si="2"/>
        <v>89</v>
      </c>
      <c r="W374" s="10">
        <v>42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E374" s="10">
        <v>0</v>
      </c>
      <c r="AG374" s="10">
        <v>1</v>
      </c>
      <c r="AH374" s="10">
        <v>2</v>
      </c>
      <c r="AI374" s="10">
        <v>0</v>
      </c>
      <c r="AJ374" s="10">
        <v>2</v>
      </c>
      <c r="AK374" s="10">
        <v>0</v>
      </c>
      <c r="AL374" s="10">
        <v>2</v>
      </c>
      <c r="AM374" s="10">
        <v>0</v>
      </c>
      <c r="AN374" s="10" t="s">
        <v>62</v>
      </c>
      <c r="AO374" s="10">
        <v>0</v>
      </c>
      <c r="AP374" s="10">
        <v>0</v>
      </c>
      <c r="AQ374" s="10">
        <v>0</v>
      </c>
      <c r="AR374" s="10">
        <v>0</v>
      </c>
      <c r="AS374" s="10">
        <v>0</v>
      </c>
      <c r="AT374" s="10">
        <v>0</v>
      </c>
      <c r="AU374" s="10">
        <v>0</v>
      </c>
      <c r="AX374" s="53" t="s">
        <v>709</v>
      </c>
      <c r="AY374" s="53" t="s">
        <v>694</v>
      </c>
      <c r="AZ374" s="10"/>
      <c r="BA374" s="10"/>
      <c r="BC374" s="15"/>
      <c r="BD374" s="15"/>
    </row>
    <row r="375" spans="1:56" x14ac:dyDescent="0.3">
      <c r="A375" t="s">
        <v>710</v>
      </c>
      <c r="B375" t="s">
        <v>670</v>
      </c>
      <c r="C375" s="50">
        <v>38.249521025132097</v>
      </c>
      <c r="D375" s="51">
        <v>-0.82366424596538301</v>
      </c>
      <c r="E375" s="52">
        <v>262</v>
      </c>
      <c r="F375" s="10" t="s">
        <v>644</v>
      </c>
      <c r="G375" s="10" t="s">
        <v>54</v>
      </c>
      <c r="H375">
        <v>-2500</v>
      </c>
      <c r="I375">
        <v>-2000</v>
      </c>
      <c r="J375" s="36" t="s">
        <v>706</v>
      </c>
      <c r="K375" s="53" t="s">
        <v>646</v>
      </c>
      <c r="L375"/>
      <c r="M375" t="s">
        <v>73</v>
      </c>
      <c r="N375"/>
      <c r="O375" s="10" t="s">
        <v>60</v>
      </c>
      <c r="P375" s="10" t="s">
        <v>61</v>
      </c>
      <c r="Q375" s="10">
        <v>0</v>
      </c>
      <c r="R375" s="10">
        <v>0</v>
      </c>
      <c r="S375" s="9">
        <f t="shared" si="1"/>
        <v>0</v>
      </c>
      <c r="T375" s="10">
        <v>337</v>
      </c>
      <c r="U375" s="10">
        <v>0</v>
      </c>
      <c r="V375" s="9">
        <f t="shared" si="2"/>
        <v>337</v>
      </c>
      <c r="W375" s="10">
        <v>3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E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0</v>
      </c>
      <c r="AT375" s="10">
        <v>0</v>
      </c>
      <c r="AU375" s="10">
        <v>0</v>
      </c>
      <c r="AX375" s="53" t="s">
        <v>671</v>
      </c>
      <c r="AY375" s="53" t="s">
        <v>672</v>
      </c>
      <c r="AZ375" s="10"/>
      <c r="BA375" s="10"/>
      <c r="BC375" s="15"/>
      <c r="BD375" s="15"/>
    </row>
    <row r="376" spans="1:56" x14ac:dyDescent="0.3">
      <c r="A376" t="s">
        <v>711</v>
      </c>
      <c r="B376" t="s">
        <v>712</v>
      </c>
      <c r="C376" s="50">
        <v>41.325526985187203</v>
      </c>
      <c r="D376" s="51">
        <v>1.67397394562304</v>
      </c>
      <c r="E376" s="52">
        <v>234</v>
      </c>
      <c r="F376" s="10" t="s">
        <v>644</v>
      </c>
      <c r="G376" s="10" t="s">
        <v>54</v>
      </c>
      <c r="H376">
        <v>-500</v>
      </c>
      <c r="I376">
        <v>-200</v>
      </c>
      <c r="J376" s="36" t="s">
        <v>675</v>
      </c>
      <c r="K376" s="53" t="s">
        <v>300</v>
      </c>
      <c r="L376"/>
      <c r="M376" t="s">
        <v>59</v>
      </c>
      <c r="N376"/>
      <c r="O376" s="10" t="s">
        <v>60</v>
      </c>
      <c r="P376" s="10" t="s">
        <v>61</v>
      </c>
      <c r="Q376" s="10">
        <v>25</v>
      </c>
      <c r="R376" s="10">
        <v>18</v>
      </c>
      <c r="S376" s="9">
        <f t="shared" si="1"/>
        <v>34</v>
      </c>
      <c r="T376" s="10">
        <v>1</v>
      </c>
      <c r="U376" s="10">
        <v>0</v>
      </c>
      <c r="V376" s="9">
        <f t="shared" si="2"/>
        <v>1</v>
      </c>
      <c r="W376" s="10">
        <v>2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E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X376" s="53" t="s">
        <v>693</v>
      </c>
      <c r="AY376" s="53" t="s">
        <v>694</v>
      </c>
      <c r="AZ376" s="10"/>
      <c r="BA376" s="10"/>
      <c r="BC376" s="15"/>
      <c r="BD376" s="15"/>
    </row>
    <row r="377" spans="1:56" x14ac:dyDescent="0.3">
      <c r="A377" t="s">
        <v>713</v>
      </c>
      <c r="B377" t="s">
        <v>714</v>
      </c>
      <c r="C377" s="50">
        <v>41.498497999999998</v>
      </c>
      <c r="D377" s="51">
        <v>2.104171</v>
      </c>
      <c r="E377" s="52">
        <v>101</v>
      </c>
      <c r="F377" s="10" t="s">
        <v>644</v>
      </c>
      <c r="G377" s="10" t="s">
        <v>54</v>
      </c>
      <c r="H377">
        <v>-400</v>
      </c>
      <c r="I377">
        <v>-200</v>
      </c>
      <c r="J377" s="36" t="s">
        <v>675</v>
      </c>
      <c r="K377" s="53" t="s">
        <v>300</v>
      </c>
      <c r="L377"/>
      <c r="M377" t="s">
        <v>59</v>
      </c>
      <c r="N377"/>
      <c r="O377" s="10" t="s">
        <v>60</v>
      </c>
      <c r="P377" s="10" t="s">
        <v>61</v>
      </c>
      <c r="Q377" s="10">
        <v>3</v>
      </c>
      <c r="R377" s="10">
        <v>6</v>
      </c>
      <c r="S377" s="9">
        <f t="shared" si="1"/>
        <v>6</v>
      </c>
      <c r="T377" s="10">
        <v>1</v>
      </c>
      <c r="U377" s="10">
        <v>0</v>
      </c>
      <c r="V377" s="9">
        <f t="shared" si="2"/>
        <v>1</v>
      </c>
      <c r="W377" s="10">
        <v>1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E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0">
        <v>0</v>
      </c>
      <c r="AT377" s="10">
        <v>0</v>
      </c>
      <c r="AU377" s="10">
        <v>0</v>
      </c>
      <c r="AX377" s="53" t="s">
        <v>676</v>
      </c>
      <c r="AY377" s="53" t="s">
        <v>677</v>
      </c>
      <c r="AZ377" s="10"/>
      <c r="BA377" s="10"/>
      <c r="BC377" s="15"/>
      <c r="BD377" s="15"/>
    </row>
    <row r="378" spans="1:56" x14ac:dyDescent="0.3">
      <c r="A378" t="s">
        <v>715</v>
      </c>
      <c r="B378" t="s">
        <v>716</v>
      </c>
      <c r="C378" s="50">
        <v>41.315696000000003</v>
      </c>
      <c r="D378" s="51">
        <v>1.71915</v>
      </c>
      <c r="E378" s="52">
        <v>358</v>
      </c>
      <c r="F378" s="10" t="s">
        <v>644</v>
      </c>
      <c r="G378" s="10" t="s">
        <v>54</v>
      </c>
      <c r="H378">
        <v>-500</v>
      </c>
      <c r="I378">
        <v>-200</v>
      </c>
      <c r="J378" s="36" t="s">
        <v>675</v>
      </c>
      <c r="K378" s="53" t="s">
        <v>300</v>
      </c>
      <c r="L378"/>
      <c r="M378" t="s">
        <v>73</v>
      </c>
      <c r="N378"/>
      <c r="O378" s="10" t="s">
        <v>60</v>
      </c>
      <c r="P378" s="10" t="s">
        <v>61</v>
      </c>
      <c r="Q378" s="10">
        <v>15</v>
      </c>
      <c r="R378" s="10">
        <v>5</v>
      </c>
      <c r="S378" s="9">
        <f t="shared" si="1"/>
        <v>17.5</v>
      </c>
      <c r="T378" s="10">
        <v>1</v>
      </c>
      <c r="U378" s="10">
        <v>0</v>
      </c>
      <c r="V378" s="9">
        <f t="shared" si="2"/>
        <v>1</v>
      </c>
      <c r="W378" s="10">
        <v>1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E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0">
        <v>0</v>
      </c>
      <c r="AT378" s="10">
        <v>0</v>
      </c>
      <c r="AU378" s="10">
        <v>0</v>
      </c>
      <c r="AX378" s="53" t="s">
        <v>717</v>
      </c>
      <c r="AY378" s="53" t="s">
        <v>718</v>
      </c>
      <c r="AZ378" s="10"/>
      <c r="BA378" s="10"/>
      <c r="BC378" s="15"/>
      <c r="BD378" s="15"/>
    </row>
    <row r="379" spans="1:56" x14ac:dyDescent="0.3">
      <c r="A379" t="s">
        <v>719</v>
      </c>
      <c r="B379" t="s">
        <v>714</v>
      </c>
      <c r="C379" s="50">
        <v>41.479586323991299</v>
      </c>
      <c r="D379" s="51">
        <v>2.1322670016231702</v>
      </c>
      <c r="E379" s="52">
        <v>45</v>
      </c>
      <c r="F379" s="10" t="s">
        <v>644</v>
      </c>
      <c r="G379" s="10" t="s">
        <v>54</v>
      </c>
      <c r="H379">
        <v>-1400</v>
      </c>
      <c r="I379">
        <v>-800</v>
      </c>
      <c r="J379" s="36" t="s">
        <v>195</v>
      </c>
      <c r="K379" s="53" t="s">
        <v>57</v>
      </c>
      <c r="L379"/>
      <c r="M379" t="s">
        <v>59</v>
      </c>
      <c r="N379"/>
      <c r="O379" s="10" t="s">
        <v>60</v>
      </c>
      <c r="P379" s="10" t="s">
        <v>61</v>
      </c>
      <c r="Q379" s="10">
        <v>10</v>
      </c>
      <c r="R379" s="10">
        <v>3</v>
      </c>
      <c r="S379" s="9">
        <f t="shared" si="1"/>
        <v>11.5</v>
      </c>
      <c r="T379" s="10">
        <v>44</v>
      </c>
      <c r="U379" s="10">
        <v>55</v>
      </c>
      <c r="V379" s="9">
        <f t="shared" si="2"/>
        <v>71.5</v>
      </c>
      <c r="W379" s="10">
        <v>3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E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X379" s="53" t="s">
        <v>720</v>
      </c>
      <c r="AY379" s="53" t="s">
        <v>721</v>
      </c>
      <c r="AZ379" s="10"/>
      <c r="BA379" s="10"/>
      <c r="BC379" s="15"/>
      <c r="BD379" s="15"/>
    </row>
    <row r="380" spans="1:56" x14ac:dyDescent="0.3">
      <c r="A380" t="s">
        <v>722</v>
      </c>
      <c r="B380" t="s">
        <v>712</v>
      </c>
      <c r="C380" s="50">
        <v>41.352688000000001</v>
      </c>
      <c r="D380" s="51">
        <v>1.6932780000000001</v>
      </c>
      <c r="E380" s="52">
        <v>223</v>
      </c>
      <c r="F380" s="10" t="s">
        <v>644</v>
      </c>
      <c r="G380" s="10" t="s">
        <v>54</v>
      </c>
      <c r="H380">
        <v>-725</v>
      </c>
      <c r="I380">
        <v>-550</v>
      </c>
      <c r="J380" s="36" t="s">
        <v>299</v>
      </c>
      <c r="K380" s="53" t="s">
        <v>300</v>
      </c>
      <c r="L380"/>
      <c r="M380" t="s">
        <v>59</v>
      </c>
      <c r="N380"/>
      <c r="O380" s="10" t="s">
        <v>60</v>
      </c>
      <c r="P380" s="10" t="s">
        <v>61</v>
      </c>
      <c r="Q380" s="10">
        <v>34</v>
      </c>
      <c r="R380" s="10">
        <v>25</v>
      </c>
      <c r="S380" s="9">
        <f t="shared" si="1"/>
        <v>46.5</v>
      </c>
      <c r="T380" s="10">
        <v>4</v>
      </c>
      <c r="U380" s="10">
        <v>0</v>
      </c>
      <c r="V380" s="9">
        <f t="shared" si="2"/>
        <v>4</v>
      </c>
      <c r="W380" s="10">
        <v>2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E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X380" s="53" t="s">
        <v>723</v>
      </c>
      <c r="AY380" s="53" t="s">
        <v>724</v>
      </c>
      <c r="AZ380" s="10"/>
      <c r="BA380" s="10"/>
      <c r="BC380" s="15"/>
      <c r="BD380" s="15"/>
    </row>
    <row r="381" spans="1:56" x14ac:dyDescent="0.3">
      <c r="A381" t="s">
        <v>725</v>
      </c>
      <c r="B381" t="s">
        <v>674</v>
      </c>
      <c r="C381" s="50">
        <v>41.502456000000002</v>
      </c>
      <c r="D381" s="51">
        <v>2.1036030000000001</v>
      </c>
      <c r="E381" s="52">
        <v>32</v>
      </c>
      <c r="F381" s="10" t="s">
        <v>644</v>
      </c>
      <c r="G381" s="10" t="s">
        <v>54</v>
      </c>
      <c r="H381">
        <v>-725</v>
      </c>
      <c r="I381">
        <v>-550</v>
      </c>
      <c r="J381" s="36" t="s">
        <v>299</v>
      </c>
      <c r="K381" s="53" t="s">
        <v>300</v>
      </c>
      <c r="L381"/>
      <c r="M381" t="s">
        <v>241</v>
      </c>
      <c r="N381"/>
      <c r="O381" s="10" t="s">
        <v>60</v>
      </c>
      <c r="P381" s="10" t="s">
        <v>61</v>
      </c>
      <c r="Q381" s="10">
        <v>270</v>
      </c>
      <c r="R381" s="10">
        <v>17</v>
      </c>
      <c r="S381" s="9">
        <f t="shared" si="1"/>
        <v>278.5</v>
      </c>
      <c r="T381" s="10">
        <v>15</v>
      </c>
      <c r="U381" s="10">
        <v>0</v>
      </c>
      <c r="V381" s="9">
        <f t="shared" si="2"/>
        <v>15</v>
      </c>
      <c r="W381" s="10">
        <v>15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E381" s="10">
        <v>0</v>
      </c>
      <c r="AG381" s="10">
        <v>1</v>
      </c>
      <c r="AH381" s="10">
        <v>4</v>
      </c>
      <c r="AI381" s="10">
        <v>0</v>
      </c>
      <c r="AJ381" s="10">
        <v>4</v>
      </c>
      <c r="AK381" s="10">
        <v>0</v>
      </c>
      <c r="AL381" s="10">
        <v>3</v>
      </c>
      <c r="AM381" s="10">
        <v>0</v>
      </c>
      <c r="AN381" s="10" t="s">
        <v>62</v>
      </c>
      <c r="AO381" s="10">
        <v>0</v>
      </c>
      <c r="AP381" s="10">
        <v>0</v>
      </c>
      <c r="AQ381" s="10">
        <v>0</v>
      </c>
      <c r="AR381" s="10">
        <v>0</v>
      </c>
      <c r="AS381" s="10">
        <v>0</v>
      </c>
      <c r="AT381" s="10">
        <v>0</v>
      </c>
      <c r="AU381" s="10">
        <v>0</v>
      </c>
      <c r="AX381" s="53" t="s">
        <v>726</v>
      </c>
      <c r="AY381" s="53" t="s">
        <v>727</v>
      </c>
      <c r="AZ381" s="10"/>
      <c r="BA381" s="10"/>
      <c r="BC381" s="15"/>
      <c r="BD381" s="15"/>
    </row>
    <row r="382" spans="1:56" x14ac:dyDescent="0.3">
      <c r="A382" t="s">
        <v>728</v>
      </c>
      <c r="B382" t="s">
        <v>679</v>
      </c>
      <c r="C382" s="50">
        <v>38.601738437656998</v>
      </c>
      <c r="D382" s="51">
        <v>-0.901573102946987</v>
      </c>
      <c r="E382" s="52">
        <v>580</v>
      </c>
      <c r="F382" s="10" t="s">
        <v>644</v>
      </c>
      <c r="G382" s="10" t="s">
        <v>54</v>
      </c>
      <c r="H382">
        <v>-2000</v>
      </c>
      <c r="I382">
        <v>-1700</v>
      </c>
      <c r="J382" s="36" t="s">
        <v>56</v>
      </c>
      <c r="K382" s="53" t="s">
        <v>57</v>
      </c>
      <c r="L382"/>
      <c r="M382" t="s">
        <v>73</v>
      </c>
      <c r="N382"/>
      <c r="O382" s="10" t="s">
        <v>60</v>
      </c>
      <c r="P382" s="10" t="s">
        <v>61</v>
      </c>
      <c r="Q382" s="10">
        <v>4109</v>
      </c>
      <c r="R382" s="10">
        <v>0</v>
      </c>
      <c r="S382" s="9">
        <f t="shared" si="1"/>
        <v>4109</v>
      </c>
      <c r="T382" s="10">
        <v>0</v>
      </c>
      <c r="U382" s="10">
        <v>0</v>
      </c>
      <c r="V382" s="9">
        <f t="shared" si="2"/>
        <v>0</v>
      </c>
      <c r="W382" s="10">
        <v>1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E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0">
        <v>0</v>
      </c>
      <c r="AT382" s="10">
        <v>0</v>
      </c>
      <c r="AU382" s="10">
        <v>0</v>
      </c>
      <c r="AX382" s="53" t="s">
        <v>671</v>
      </c>
      <c r="AY382" s="53" t="s">
        <v>672</v>
      </c>
      <c r="AZ382" s="10"/>
      <c r="BA382" s="10"/>
      <c r="BC382" s="15"/>
      <c r="BD382" s="15"/>
    </row>
    <row r="383" spans="1:56" x14ac:dyDescent="0.3">
      <c r="A383" t="s">
        <v>729</v>
      </c>
      <c r="B383" t="s">
        <v>730</v>
      </c>
      <c r="C383" s="50">
        <v>41.633001584760798</v>
      </c>
      <c r="D383" s="51">
        <v>2.1435540977910401</v>
      </c>
      <c r="E383" s="52">
        <v>309</v>
      </c>
      <c r="F383" s="10" t="s">
        <v>644</v>
      </c>
      <c r="G383" s="10" t="s">
        <v>54</v>
      </c>
      <c r="H383">
        <v>-400</v>
      </c>
      <c r="I383">
        <v>-100</v>
      </c>
      <c r="J383" s="36" t="s">
        <v>675</v>
      </c>
      <c r="K383" s="53" t="s">
        <v>300</v>
      </c>
      <c r="L383"/>
      <c r="M383" t="s">
        <v>73</v>
      </c>
      <c r="N383"/>
      <c r="O383" s="10" t="s">
        <v>60</v>
      </c>
      <c r="P383" s="10" t="s">
        <v>61</v>
      </c>
      <c r="Q383" s="10">
        <v>30</v>
      </c>
      <c r="R383" s="10">
        <v>23</v>
      </c>
      <c r="S383" s="9">
        <f t="shared" si="1"/>
        <v>41.5</v>
      </c>
      <c r="T383" s="10">
        <v>12</v>
      </c>
      <c r="U383" s="10">
        <v>2</v>
      </c>
      <c r="V383" s="9">
        <f t="shared" si="2"/>
        <v>13</v>
      </c>
      <c r="W383" s="10">
        <v>10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E383" s="10">
        <v>0</v>
      </c>
      <c r="AG383" s="10">
        <v>1</v>
      </c>
      <c r="AH383" s="10">
        <v>2</v>
      </c>
      <c r="AI383" s="10">
        <v>0</v>
      </c>
      <c r="AJ383" s="10">
        <v>2</v>
      </c>
      <c r="AK383" s="10">
        <v>0</v>
      </c>
      <c r="AL383" s="10">
        <v>2</v>
      </c>
      <c r="AM383" s="10">
        <v>0</v>
      </c>
      <c r="AN383" s="10" t="s">
        <v>62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X383" s="53" t="s">
        <v>693</v>
      </c>
      <c r="AY383" s="53" t="s">
        <v>694</v>
      </c>
      <c r="AZ383" s="10"/>
      <c r="BA383" s="10"/>
      <c r="BC383" s="15"/>
      <c r="BD383" s="15"/>
    </row>
    <row r="384" spans="1:56" x14ac:dyDescent="0.3">
      <c r="A384" t="s">
        <v>667</v>
      </c>
      <c r="B384" t="s">
        <v>731</v>
      </c>
      <c r="C384" s="50">
        <v>38.364494999999998</v>
      </c>
      <c r="D384" s="51">
        <v>-0.44513999999999998</v>
      </c>
      <c r="E384" s="52">
        <v>38</v>
      </c>
      <c r="F384" s="10" t="s">
        <v>644</v>
      </c>
      <c r="G384" s="10" t="s">
        <v>54</v>
      </c>
      <c r="H384">
        <v>-500</v>
      </c>
      <c r="I384">
        <v>-200</v>
      </c>
      <c r="J384" s="36" t="s">
        <v>675</v>
      </c>
      <c r="K384" s="53" t="s">
        <v>300</v>
      </c>
      <c r="L384"/>
      <c r="M384" t="s">
        <v>73</v>
      </c>
      <c r="N384"/>
      <c r="O384" s="10" t="s">
        <v>60</v>
      </c>
      <c r="P384" s="10" t="s">
        <v>61</v>
      </c>
      <c r="Q384" s="10">
        <v>8</v>
      </c>
      <c r="R384" s="10">
        <v>7</v>
      </c>
      <c r="S384" s="9">
        <f t="shared" si="1"/>
        <v>11.5</v>
      </c>
      <c r="T384" s="10">
        <v>0</v>
      </c>
      <c r="U384" s="10">
        <v>0</v>
      </c>
      <c r="V384" s="9">
        <f t="shared" si="2"/>
        <v>0</v>
      </c>
      <c r="W384" s="10">
        <v>14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E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0">
        <v>0</v>
      </c>
      <c r="AT384" s="10">
        <v>0</v>
      </c>
      <c r="AU384" s="10">
        <v>0</v>
      </c>
      <c r="AX384" s="53" t="s">
        <v>671</v>
      </c>
      <c r="AY384" s="53" t="s">
        <v>672</v>
      </c>
      <c r="AZ384" s="10"/>
      <c r="BA384" s="10"/>
      <c r="BC384" s="15"/>
      <c r="BD384" s="15"/>
    </row>
    <row r="385" spans="1:56" x14ac:dyDescent="0.3">
      <c r="A385" t="s">
        <v>667</v>
      </c>
      <c r="B385" t="s">
        <v>731</v>
      </c>
      <c r="C385" s="50">
        <v>38.364494999999998</v>
      </c>
      <c r="D385" s="51">
        <v>-0.44513999999999998</v>
      </c>
      <c r="E385" s="52">
        <v>38</v>
      </c>
      <c r="F385" s="10" t="s">
        <v>644</v>
      </c>
      <c r="G385" s="10" t="s">
        <v>54</v>
      </c>
      <c r="H385">
        <v>-5000</v>
      </c>
      <c r="I385">
        <v>-4000</v>
      </c>
      <c r="J385" s="36" t="s">
        <v>645</v>
      </c>
      <c r="K385" s="53" t="s">
        <v>646</v>
      </c>
      <c r="L385"/>
      <c r="M385" t="s">
        <v>77</v>
      </c>
      <c r="N385"/>
      <c r="O385" s="10" t="s">
        <v>60</v>
      </c>
      <c r="P385" s="10" t="s">
        <v>61</v>
      </c>
      <c r="Q385" s="10">
        <v>7</v>
      </c>
      <c r="R385" s="10">
        <v>2</v>
      </c>
      <c r="S385" s="9">
        <f t="shared" si="1"/>
        <v>8</v>
      </c>
      <c r="T385" s="10">
        <v>0</v>
      </c>
      <c r="U385" s="10">
        <v>0</v>
      </c>
      <c r="V385" s="9">
        <f t="shared" si="2"/>
        <v>0</v>
      </c>
      <c r="W385" s="10">
        <v>14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E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0</v>
      </c>
      <c r="AT385" s="10">
        <v>0</v>
      </c>
      <c r="AU385" s="10">
        <v>0</v>
      </c>
      <c r="AX385" s="53" t="s">
        <v>671</v>
      </c>
      <c r="AY385" s="53" t="s">
        <v>672</v>
      </c>
      <c r="AZ385" s="10"/>
      <c r="BA385" s="10"/>
      <c r="BC385" s="15"/>
      <c r="BD385" s="15"/>
    </row>
    <row r="386" spans="1:56" x14ac:dyDescent="0.3">
      <c r="A386" t="s">
        <v>732</v>
      </c>
      <c r="B386" t="s">
        <v>733</v>
      </c>
      <c r="C386" s="50">
        <v>41.225026</v>
      </c>
      <c r="D386" s="51">
        <v>1.7258180000000001</v>
      </c>
      <c r="E386" s="52">
        <v>3</v>
      </c>
      <c r="F386" s="10" t="s">
        <v>644</v>
      </c>
      <c r="G386" s="10" t="s">
        <v>54</v>
      </c>
      <c r="H386">
        <v>-500</v>
      </c>
      <c r="I386">
        <v>-200</v>
      </c>
      <c r="J386" s="36" t="s">
        <v>675</v>
      </c>
      <c r="K386" s="53" t="s">
        <v>300</v>
      </c>
      <c r="L386"/>
      <c r="M386" t="s">
        <v>73</v>
      </c>
      <c r="N386"/>
      <c r="O386" s="10" t="s">
        <v>60</v>
      </c>
      <c r="P386" s="10" t="s">
        <v>61</v>
      </c>
      <c r="Q386" s="10">
        <v>14</v>
      </c>
      <c r="R386" s="10">
        <v>10</v>
      </c>
      <c r="S386" s="9">
        <f t="shared" si="1"/>
        <v>19</v>
      </c>
      <c r="T386" s="10">
        <v>6</v>
      </c>
      <c r="U386" s="10">
        <v>2</v>
      </c>
      <c r="V386" s="9">
        <f t="shared" si="2"/>
        <v>7</v>
      </c>
      <c r="W386" s="10">
        <v>3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E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0</v>
      </c>
      <c r="AO386" s="10">
        <v>0</v>
      </c>
      <c r="AP386" s="10">
        <v>0</v>
      </c>
      <c r="AQ386" s="10">
        <v>0</v>
      </c>
      <c r="AR386" s="10">
        <v>0</v>
      </c>
      <c r="AS386" s="10">
        <v>0</v>
      </c>
      <c r="AT386" s="10">
        <v>0</v>
      </c>
      <c r="AU386" s="10">
        <v>0</v>
      </c>
      <c r="AX386" s="53" t="s">
        <v>734</v>
      </c>
      <c r="AY386" s="53" t="s">
        <v>694</v>
      </c>
      <c r="AZ386" s="10"/>
      <c r="BA386" s="10"/>
      <c r="BC386" s="15"/>
      <c r="BD386" s="15"/>
    </row>
    <row r="387" spans="1:56" x14ac:dyDescent="0.3">
      <c r="S387" s="9">
        <f t="shared" si="1"/>
        <v>0</v>
      </c>
      <c r="V387" s="9">
        <f t="shared" si="2"/>
        <v>0</v>
      </c>
      <c r="AM387" s="14"/>
    </row>
    <row r="388" spans="1:56" x14ac:dyDescent="0.3">
      <c r="A388" t="s">
        <v>735</v>
      </c>
      <c r="B388" t="s">
        <v>736</v>
      </c>
      <c r="C388">
        <v>36.83223383</v>
      </c>
      <c r="D388">
        <v>-5.237698</v>
      </c>
      <c r="F388" s="10" t="s">
        <v>644</v>
      </c>
      <c r="G388" s="10" t="s">
        <v>54</v>
      </c>
      <c r="H388" s="11">
        <v>-2200</v>
      </c>
      <c r="I388" s="11">
        <v>-1800</v>
      </c>
      <c r="J388" s="10" t="s">
        <v>56</v>
      </c>
      <c r="K388" s="10" t="s">
        <v>57</v>
      </c>
      <c r="M388" s="10" t="s">
        <v>77</v>
      </c>
      <c r="O388" s="10" t="s">
        <v>60</v>
      </c>
      <c r="P388" s="10" t="s">
        <v>60</v>
      </c>
      <c r="Q388" s="10">
        <v>70</v>
      </c>
      <c r="R388" s="10">
        <v>21</v>
      </c>
      <c r="S388" s="9">
        <f t="shared" si="1"/>
        <v>80.5</v>
      </c>
      <c r="T388" s="10">
        <v>20</v>
      </c>
      <c r="U388" s="10">
        <v>74</v>
      </c>
      <c r="V388" s="9">
        <f t="shared" si="2"/>
        <v>57</v>
      </c>
      <c r="W388" s="10">
        <v>3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E388" s="10">
        <v>0</v>
      </c>
      <c r="AG388" s="10">
        <v>1</v>
      </c>
      <c r="AH388" s="10">
        <v>7</v>
      </c>
      <c r="AI388" s="10">
        <v>0</v>
      </c>
      <c r="AJ388" s="10">
        <v>7</v>
      </c>
      <c r="AK388" s="10">
        <v>0</v>
      </c>
      <c r="AL388" s="10">
        <v>1</v>
      </c>
      <c r="AM388" s="14">
        <v>0</v>
      </c>
      <c r="AN388" s="10" t="s">
        <v>62</v>
      </c>
      <c r="AO388" s="10">
        <v>0</v>
      </c>
      <c r="AP388" s="10">
        <v>0</v>
      </c>
      <c r="AQ388" s="10">
        <v>0</v>
      </c>
      <c r="AR388" s="10">
        <v>0</v>
      </c>
      <c r="AS388" s="10">
        <v>0</v>
      </c>
      <c r="AT388" s="10">
        <v>0</v>
      </c>
      <c r="AU388" s="10">
        <v>0</v>
      </c>
      <c r="AX388" s="53" t="s">
        <v>734</v>
      </c>
      <c r="AY388" s="53" t="s">
        <v>694</v>
      </c>
    </row>
    <row r="389" spans="1:56" x14ac:dyDescent="0.3">
      <c r="A389" t="s">
        <v>737</v>
      </c>
      <c r="B389" t="s">
        <v>738</v>
      </c>
      <c r="C389">
        <v>38.821866</v>
      </c>
      <c r="D389">
        <v>6.7402000000000004E-2</v>
      </c>
      <c r="F389" s="10" t="s">
        <v>644</v>
      </c>
      <c r="G389" s="10" t="s">
        <v>54</v>
      </c>
      <c r="H389" s="11">
        <v>-750</v>
      </c>
      <c r="I389" s="11">
        <v>-600</v>
      </c>
      <c r="J389" s="10" t="s">
        <v>299</v>
      </c>
      <c r="K389" s="10" t="s">
        <v>300</v>
      </c>
      <c r="M389" s="10" t="s">
        <v>73</v>
      </c>
      <c r="O389" s="10" t="s">
        <v>60</v>
      </c>
      <c r="P389" s="10" t="s">
        <v>61</v>
      </c>
      <c r="Q389" s="10">
        <v>9244</v>
      </c>
      <c r="R389" s="10">
        <v>1823</v>
      </c>
      <c r="S389" s="9">
        <f t="shared" si="1"/>
        <v>10155.5</v>
      </c>
      <c r="T389" s="10">
        <v>4</v>
      </c>
      <c r="U389" s="10">
        <v>0</v>
      </c>
      <c r="V389" s="10">
        <v>4</v>
      </c>
      <c r="W389" s="10">
        <v>24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E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 t="s">
        <v>62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X389" s="53" t="s">
        <v>739</v>
      </c>
      <c r="AY389" s="53" t="s">
        <v>740</v>
      </c>
    </row>
    <row r="390" spans="1:56" x14ac:dyDescent="0.3">
      <c r="A390" t="s">
        <v>741</v>
      </c>
      <c r="B390" t="s">
        <v>742</v>
      </c>
      <c r="C390">
        <v>42.122861</v>
      </c>
      <c r="D390">
        <v>3.1332339999999999</v>
      </c>
      <c r="F390" s="10" t="s">
        <v>644</v>
      </c>
      <c r="G390" s="10" t="s">
        <v>54</v>
      </c>
      <c r="H390" s="11">
        <v>-550</v>
      </c>
      <c r="I390" s="11">
        <v>-400</v>
      </c>
      <c r="J390" s="10" t="s">
        <v>675</v>
      </c>
      <c r="K390" s="10" t="s">
        <v>300</v>
      </c>
      <c r="M390" s="10" t="s">
        <v>421</v>
      </c>
      <c r="O390" s="10" t="s">
        <v>60</v>
      </c>
      <c r="P390" s="10" t="s">
        <v>61</v>
      </c>
      <c r="Q390" s="10">
        <v>386</v>
      </c>
      <c r="R390" s="10">
        <v>258</v>
      </c>
      <c r="S390" s="9">
        <f t="shared" si="1"/>
        <v>515</v>
      </c>
      <c r="T390" s="10">
        <v>10</v>
      </c>
      <c r="U390" s="10">
        <v>3</v>
      </c>
      <c r="V390" s="10">
        <f t="shared" si="2"/>
        <v>11.5</v>
      </c>
      <c r="W390" s="10">
        <v>2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E390" s="10">
        <v>0</v>
      </c>
      <c r="AG390" s="10">
        <v>1</v>
      </c>
      <c r="AH390" s="10">
        <v>5</v>
      </c>
      <c r="AI390" s="10">
        <v>0</v>
      </c>
      <c r="AJ390" s="10">
        <v>5</v>
      </c>
      <c r="AK390" s="10">
        <v>0</v>
      </c>
      <c r="AL390" s="10">
        <v>2</v>
      </c>
      <c r="AM390" s="14">
        <v>0</v>
      </c>
      <c r="AN390" s="10" t="s">
        <v>62</v>
      </c>
      <c r="AO390" s="10">
        <v>0</v>
      </c>
      <c r="AP390" s="10">
        <v>0</v>
      </c>
      <c r="AQ390" s="10">
        <v>0</v>
      </c>
      <c r="AR390" s="10">
        <v>0</v>
      </c>
      <c r="AS390" s="10">
        <v>0</v>
      </c>
      <c r="AT390" s="10">
        <v>0</v>
      </c>
      <c r="AU390" s="10">
        <v>0</v>
      </c>
      <c r="AX390" s="53" t="s">
        <v>743</v>
      </c>
      <c r="AY390" s="53" t="s">
        <v>744</v>
      </c>
    </row>
    <row r="391" spans="1:56" x14ac:dyDescent="0.3">
      <c r="A391" t="s">
        <v>745</v>
      </c>
      <c r="B391" t="s">
        <v>746</v>
      </c>
      <c r="C391">
        <v>38.826239540000003</v>
      </c>
      <c r="D391">
        <v>-0.61765999999999999</v>
      </c>
      <c r="F391" s="10" t="s">
        <v>644</v>
      </c>
      <c r="G391" s="10" t="s">
        <v>54</v>
      </c>
      <c r="H391" s="11">
        <v>-2800</v>
      </c>
      <c r="I391" s="11">
        <v>-2000</v>
      </c>
      <c r="J391" s="10" t="s">
        <v>706</v>
      </c>
      <c r="K391" s="10" t="s">
        <v>646</v>
      </c>
      <c r="M391" s="10" t="s">
        <v>59</v>
      </c>
      <c r="O391" s="10" t="s">
        <v>60</v>
      </c>
      <c r="P391" s="10" t="s">
        <v>61</v>
      </c>
      <c r="Q391" s="10">
        <v>223</v>
      </c>
      <c r="R391" s="10">
        <v>0</v>
      </c>
      <c r="S391" s="9">
        <v>223</v>
      </c>
      <c r="T391" s="10">
        <v>0</v>
      </c>
      <c r="U391" s="10">
        <v>0</v>
      </c>
      <c r="V391" s="10">
        <v>0</v>
      </c>
      <c r="W391" s="10">
        <v>5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E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W391" s="10"/>
      <c r="AX391" s="53" t="s">
        <v>747</v>
      </c>
      <c r="AY391" s="53" t="s">
        <v>748</v>
      </c>
    </row>
    <row r="392" spans="1:56" x14ac:dyDescent="0.3">
      <c r="A392" t="s">
        <v>749</v>
      </c>
      <c r="B392" t="s">
        <v>750</v>
      </c>
      <c r="C392">
        <v>38.942259</v>
      </c>
      <c r="D392">
        <v>-0.113397</v>
      </c>
      <c r="F392" s="10" t="s">
        <v>644</v>
      </c>
      <c r="G392" s="10" t="s">
        <v>54</v>
      </c>
      <c r="H392" s="11">
        <v>-900</v>
      </c>
      <c r="I392" s="11">
        <v>-800</v>
      </c>
      <c r="J392" s="10" t="s">
        <v>195</v>
      </c>
      <c r="K392" s="10" t="s">
        <v>57</v>
      </c>
      <c r="M392" s="10" t="s">
        <v>73</v>
      </c>
      <c r="O392" s="10" t="s">
        <v>60</v>
      </c>
      <c r="P392" s="10" t="s">
        <v>61</v>
      </c>
      <c r="Q392" s="10">
        <v>2147</v>
      </c>
      <c r="R392" s="10">
        <v>0</v>
      </c>
      <c r="S392" s="9">
        <v>2147</v>
      </c>
      <c r="T392" s="10">
        <v>5</v>
      </c>
      <c r="U392" s="10">
        <v>0</v>
      </c>
      <c r="V392" s="10">
        <v>5</v>
      </c>
      <c r="W392" s="10">
        <v>2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E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X392" s="53" t="s">
        <v>739</v>
      </c>
      <c r="AY392" s="53" t="s">
        <v>740</v>
      </c>
    </row>
    <row r="393" spans="1:56" x14ac:dyDescent="0.3">
      <c r="A393" t="s">
        <v>751</v>
      </c>
      <c r="B393" t="s">
        <v>752</v>
      </c>
      <c r="C393">
        <v>41.047806000000001</v>
      </c>
      <c r="D393">
        <v>0.62782099999999996</v>
      </c>
      <c r="F393" s="10" t="s">
        <v>644</v>
      </c>
      <c r="G393" s="10" t="s">
        <v>54</v>
      </c>
      <c r="H393" s="11">
        <v>-800</v>
      </c>
      <c r="I393" s="11">
        <v>-600</v>
      </c>
      <c r="J393" s="10" t="s">
        <v>299</v>
      </c>
      <c r="K393" s="10" t="s">
        <v>300</v>
      </c>
      <c r="M393" s="10" t="s">
        <v>73</v>
      </c>
      <c r="O393" s="10" t="s">
        <v>60</v>
      </c>
      <c r="P393" s="10" t="s">
        <v>61</v>
      </c>
      <c r="Q393" s="10">
        <v>32</v>
      </c>
      <c r="R393" s="10">
        <v>0</v>
      </c>
      <c r="S393" s="9">
        <v>32</v>
      </c>
      <c r="T393" s="10">
        <v>0</v>
      </c>
      <c r="U393" s="10">
        <v>0</v>
      </c>
      <c r="V393" s="10">
        <v>0</v>
      </c>
      <c r="W393" s="10">
        <v>1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E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X393" s="55" t="s">
        <v>753</v>
      </c>
      <c r="AY393" s="55" t="s">
        <v>754</v>
      </c>
    </row>
    <row r="394" spans="1:56" x14ac:dyDescent="0.3">
      <c r="A394" t="s">
        <v>755</v>
      </c>
      <c r="B394" t="s">
        <v>756</v>
      </c>
      <c r="C394">
        <v>41.52693</v>
      </c>
      <c r="D394">
        <v>2.0884670000000001</v>
      </c>
      <c r="F394" s="10" t="s">
        <v>644</v>
      </c>
      <c r="G394" s="10" t="s">
        <v>54</v>
      </c>
      <c r="H394" s="11">
        <v>-2800</v>
      </c>
      <c r="I394" s="11">
        <v>-2000</v>
      </c>
      <c r="J394" s="10" t="s">
        <v>706</v>
      </c>
      <c r="K394" s="10" t="s">
        <v>646</v>
      </c>
      <c r="M394" s="10" t="s">
        <v>77</v>
      </c>
      <c r="O394" s="10" t="s">
        <v>60</v>
      </c>
      <c r="P394" s="10" t="s">
        <v>61</v>
      </c>
      <c r="Q394" s="10">
        <v>60</v>
      </c>
      <c r="R394" s="10">
        <v>0</v>
      </c>
      <c r="S394" s="9">
        <v>60</v>
      </c>
      <c r="T394" s="10">
        <v>0</v>
      </c>
      <c r="U394" s="10">
        <v>0</v>
      </c>
      <c r="V394" s="10">
        <v>0</v>
      </c>
      <c r="W394" s="10">
        <v>9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E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0">
        <v>0</v>
      </c>
      <c r="AT394" s="10">
        <v>0</v>
      </c>
      <c r="AU394" s="10">
        <v>0</v>
      </c>
      <c r="AX394" s="56" t="s">
        <v>757</v>
      </c>
      <c r="AY394" s="56" t="s">
        <v>758</v>
      </c>
    </row>
    <row r="395" spans="1:56" x14ac:dyDescent="0.3">
      <c r="A395" t="s">
        <v>755</v>
      </c>
      <c r="B395" t="s">
        <v>756</v>
      </c>
      <c r="C395">
        <v>41.52693</v>
      </c>
      <c r="D395">
        <v>2.0884670000000001</v>
      </c>
      <c r="F395" s="10" t="s">
        <v>644</v>
      </c>
      <c r="G395" s="10" t="s">
        <v>54</v>
      </c>
      <c r="H395" s="11">
        <v>-700</v>
      </c>
      <c r="I395" s="11">
        <v>-500</v>
      </c>
      <c r="J395" s="10" t="s">
        <v>299</v>
      </c>
      <c r="K395" s="10" t="s">
        <v>300</v>
      </c>
      <c r="M395" s="10" t="s">
        <v>241</v>
      </c>
      <c r="O395" s="10" t="s">
        <v>60</v>
      </c>
      <c r="P395" s="10" t="s">
        <v>61</v>
      </c>
      <c r="Q395" s="10">
        <v>173</v>
      </c>
      <c r="R395" s="10">
        <v>0</v>
      </c>
      <c r="S395" s="10">
        <v>173</v>
      </c>
      <c r="T395" s="10">
        <v>12</v>
      </c>
      <c r="U395" s="10">
        <v>0</v>
      </c>
      <c r="V395" s="10">
        <v>12</v>
      </c>
      <c r="W395" s="10">
        <v>32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E395" s="10">
        <v>0</v>
      </c>
      <c r="AG395" s="10">
        <v>1</v>
      </c>
      <c r="AH395" s="10">
        <v>2</v>
      </c>
      <c r="AI395" s="10">
        <v>0</v>
      </c>
      <c r="AJ395" s="10">
        <v>2</v>
      </c>
      <c r="AK395" s="10">
        <v>0</v>
      </c>
      <c r="AL395" s="10">
        <v>2</v>
      </c>
      <c r="AM395" s="14">
        <v>0</v>
      </c>
      <c r="AN395" s="10" t="s">
        <v>62</v>
      </c>
      <c r="AO395" s="10">
        <v>0</v>
      </c>
      <c r="AP395" s="10">
        <v>0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X395" s="56" t="s">
        <v>757</v>
      </c>
      <c r="AY395" s="56" t="s">
        <v>758</v>
      </c>
    </row>
    <row r="396" spans="1:56" x14ac:dyDescent="0.3">
      <c r="A396" t="s">
        <v>759</v>
      </c>
      <c r="B396" t="s">
        <v>760</v>
      </c>
      <c r="C396">
        <v>40.779559999999996</v>
      </c>
      <c r="D396">
        <v>0.65744499999999995</v>
      </c>
      <c r="F396" s="10" t="s">
        <v>644</v>
      </c>
      <c r="G396" s="10" t="s">
        <v>54</v>
      </c>
      <c r="H396" s="11">
        <v>-400</v>
      </c>
      <c r="I396" s="11">
        <v>-200</v>
      </c>
      <c r="J396" s="10" t="s">
        <v>675</v>
      </c>
      <c r="K396" s="10" t="s">
        <v>300</v>
      </c>
      <c r="M396" s="10" t="s">
        <v>73</v>
      </c>
      <c r="O396" s="10" t="s">
        <v>60</v>
      </c>
      <c r="P396" s="10" t="s">
        <v>61</v>
      </c>
      <c r="Q396" s="10">
        <v>147</v>
      </c>
      <c r="R396" s="10">
        <v>78</v>
      </c>
      <c r="S396" s="10">
        <f t="shared" ref="S396" si="3">Q396+(R396/2)</f>
        <v>186</v>
      </c>
      <c r="T396" s="10">
        <v>8</v>
      </c>
      <c r="U396" s="10">
        <v>0</v>
      </c>
      <c r="V396" s="10">
        <v>8</v>
      </c>
      <c r="W396" s="10">
        <v>7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E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X396" s="53" t="s">
        <v>734</v>
      </c>
      <c r="AY396" s="53" t="s">
        <v>694</v>
      </c>
    </row>
    <row r="397" spans="1:56" x14ac:dyDescent="0.3">
      <c r="A397" t="s">
        <v>761</v>
      </c>
      <c r="B397" t="s">
        <v>762</v>
      </c>
      <c r="C397">
        <v>37.181058999999998</v>
      </c>
      <c r="D397">
        <v>-3.597089</v>
      </c>
      <c r="F397" s="10" t="s">
        <v>644</v>
      </c>
      <c r="G397" s="10" t="s">
        <v>54</v>
      </c>
      <c r="H397" s="11">
        <v>-700</v>
      </c>
      <c r="I397" s="11">
        <v>-500</v>
      </c>
      <c r="J397" s="10" t="s">
        <v>299</v>
      </c>
      <c r="K397" s="10" t="s">
        <v>300</v>
      </c>
      <c r="M397" s="10" t="s">
        <v>73</v>
      </c>
      <c r="O397" s="10" t="s">
        <v>60</v>
      </c>
      <c r="P397" s="10" t="s">
        <v>61</v>
      </c>
      <c r="Q397" s="10">
        <v>41</v>
      </c>
      <c r="R397" s="10">
        <v>0</v>
      </c>
      <c r="S397" s="9">
        <v>41</v>
      </c>
      <c r="T397" s="9">
        <v>3</v>
      </c>
      <c r="U397" s="9">
        <v>0</v>
      </c>
      <c r="V397" s="9">
        <v>3</v>
      </c>
      <c r="W397" s="10">
        <v>10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E397" s="10">
        <v>0</v>
      </c>
      <c r="AG397" s="10">
        <v>1</v>
      </c>
      <c r="AH397" s="10">
        <v>1</v>
      </c>
      <c r="AI397" s="10">
        <v>0</v>
      </c>
      <c r="AJ397" s="10">
        <v>1</v>
      </c>
      <c r="AK397" s="10">
        <v>0</v>
      </c>
      <c r="AL397" s="10">
        <v>1</v>
      </c>
      <c r="AM397" s="14">
        <v>0</v>
      </c>
      <c r="AN397" s="10" t="s">
        <v>84</v>
      </c>
      <c r="AO397" s="10">
        <v>0</v>
      </c>
      <c r="AP397" s="10">
        <v>0</v>
      </c>
      <c r="AQ397" s="10">
        <v>0</v>
      </c>
      <c r="AR397" s="10">
        <v>0</v>
      </c>
      <c r="AS397" s="10">
        <v>0</v>
      </c>
      <c r="AT397" s="10">
        <v>0</v>
      </c>
      <c r="AU397" s="10">
        <v>0</v>
      </c>
      <c r="AX397" s="55" t="s">
        <v>763</v>
      </c>
      <c r="AY397" s="55" t="s">
        <v>764</v>
      </c>
    </row>
    <row r="398" spans="1:56" x14ac:dyDescent="0.3">
      <c r="A398" t="s">
        <v>765</v>
      </c>
      <c r="B398" t="s">
        <v>766</v>
      </c>
      <c r="C398">
        <v>41.161208000000002</v>
      </c>
      <c r="D398">
        <v>0.69780299999999995</v>
      </c>
      <c r="F398" s="10" t="s">
        <v>644</v>
      </c>
      <c r="G398" s="10" t="s">
        <v>54</v>
      </c>
      <c r="H398" s="11">
        <v>-700</v>
      </c>
      <c r="I398" s="11">
        <v>-500</v>
      </c>
      <c r="J398" s="10" t="s">
        <v>299</v>
      </c>
      <c r="K398" s="10" t="s">
        <v>300</v>
      </c>
      <c r="M398" s="10" t="s">
        <v>73</v>
      </c>
      <c r="O398" s="10" t="s">
        <v>60</v>
      </c>
      <c r="P398" s="10" t="s">
        <v>61</v>
      </c>
      <c r="Q398" s="10">
        <v>53</v>
      </c>
      <c r="R398" s="10">
        <v>132</v>
      </c>
      <c r="S398" s="9">
        <f t="shared" ref="S398:S408" si="4">Q398+(R398/2)</f>
        <v>119</v>
      </c>
      <c r="T398" s="9">
        <v>2</v>
      </c>
      <c r="U398" s="9">
        <v>1</v>
      </c>
      <c r="V398" s="9">
        <f t="shared" ref="V398" si="5">T398+(U398/2)</f>
        <v>2.5</v>
      </c>
      <c r="W398" s="10">
        <v>7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E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0">
        <v>0</v>
      </c>
      <c r="AT398" s="10">
        <v>0</v>
      </c>
      <c r="AU398" s="10">
        <v>0</v>
      </c>
      <c r="AX398" s="53" t="s">
        <v>734</v>
      </c>
      <c r="AY398" s="53" t="s">
        <v>694</v>
      </c>
    </row>
    <row r="399" spans="1:56" x14ac:dyDescent="0.3">
      <c r="A399" t="s">
        <v>767</v>
      </c>
      <c r="B399" t="s">
        <v>768</v>
      </c>
      <c r="C399">
        <v>41.937196999999998</v>
      </c>
      <c r="D399">
        <v>2.8053149999999998</v>
      </c>
      <c r="F399" s="10" t="s">
        <v>644</v>
      </c>
      <c r="G399" s="10" t="s">
        <v>54</v>
      </c>
      <c r="H399" s="11">
        <v>-500</v>
      </c>
      <c r="I399" s="11">
        <v>-200</v>
      </c>
      <c r="J399" s="10" t="s">
        <v>675</v>
      </c>
      <c r="K399" s="10" t="s">
        <v>300</v>
      </c>
      <c r="M399" s="10" t="s">
        <v>59</v>
      </c>
      <c r="O399" s="10" t="s">
        <v>60</v>
      </c>
      <c r="P399" s="10" t="s">
        <v>61</v>
      </c>
      <c r="Q399" s="10">
        <v>6</v>
      </c>
      <c r="R399" s="10">
        <v>1</v>
      </c>
      <c r="S399" s="9">
        <f t="shared" si="4"/>
        <v>6.5</v>
      </c>
      <c r="T399" s="9">
        <v>0</v>
      </c>
      <c r="U399" s="9">
        <v>0</v>
      </c>
      <c r="V399" s="9">
        <v>0</v>
      </c>
      <c r="W399" s="10">
        <v>1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E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O399" s="10">
        <v>0</v>
      </c>
      <c r="AP399" s="10">
        <v>0</v>
      </c>
      <c r="AQ399" s="10">
        <v>0</v>
      </c>
      <c r="AR399" s="10">
        <v>0</v>
      </c>
      <c r="AS399" s="10">
        <v>0</v>
      </c>
      <c r="AT399" s="10">
        <v>0</v>
      </c>
      <c r="AU399" s="10">
        <v>0</v>
      </c>
      <c r="AX399" s="53" t="s">
        <v>734</v>
      </c>
      <c r="AY399" s="53" t="s">
        <v>694</v>
      </c>
    </row>
    <row r="400" spans="1:56" x14ac:dyDescent="0.3">
      <c r="A400" t="s">
        <v>769</v>
      </c>
      <c r="B400" t="s">
        <v>770</v>
      </c>
      <c r="C400">
        <v>42.137286000000003</v>
      </c>
      <c r="D400">
        <v>2.8922669999999999</v>
      </c>
      <c r="F400" s="10" t="s">
        <v>644</v>
      </c>
      <c r="G400" s="10" t="s">
        <v>54</v>
      </c>
      <c r="H400" s="11">
        <v>-400</v>
      </c>
      <c r="I400" s="11">
        <v>-200</v>
      </c>
      <c r="J400" s="10" t="s">
        <v>675</v>
      </c>
      <c r="K400" s="10" t="s">
        <v>300</v>
      </c>
      <c r="M400" s="10" t="s">
        <v>241</v>
      </c>
      <c r="O400" s="10" t="s">
        <v>60</v>
      </c>
      <c r="P400" s="10" t="s">
        <v>61</v>
      </c>
      <c r="Q400" s="10">
        <v>9</v>
      </c>
      <c r="R400" s="10">
        <v>3</v>
      </c>
      <c r="S400" s="9">
        <f t="shared" si="4"/>
        <v>10.5</v>
      </c>
      <c r="T400" s="9">
        <v>69</v>
      </c>
      <c r="U400" s="9">
        <v>139</v>
      </c>
      <c r="V400" s="9">
        <f t="shared" ref="V400" si="6">T400+(U400/2)</f>
        <v>138.5</v>
      </c>
      <c r="W400" s="10">
        <v>5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E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0">
        <v>0</v>
      </c>
      <c r="AT400" s="10">
        <v>0</v>
      </c>
      <c r="AU400" s="10">
        <v>0</v>
      </c>
      <c r="AX400" s="53" t="s">
        <v>734</v>
      </c>
      <c r="AY400" s="53" t="s">
        <v>694</v>
      </c>
    </row>
    <row r="401" spans="1:51" x14ac:dyDescent="0.3">
      <c r="A401" t="s">
        <v>771</v>
      </c>
      <c r="B401" t="s">
        <v>772</v>
      </c>
      <c r="C401">
        <v>41.543709999999997</v>
      </c>
      <c r="D401">
        <v>2.0849899999999999</v>
      </c>
      <c r="F401" s="10" t="s">
        <v>644</v>
      </c>
      <c r="G401" s="10" t="s">
        <v>54</v>
      </c>
      <c r="H401" s="11">
        <v>-2000</v>
      </c>
      <c r="I401" s="11">
        <v>-1500</v>
      </c>
      <c r="J401" s="10" t="s">
        <v>56</v>
      </c>
      <c r="K401" s="10" t="s">
        <v>57</v>
      </c>
      <c r="M401" s="10" t="s">
        <v>77</v>
      </c>
      <c r="O401" s="10" t="s">
        <v>60</v>
      </c>
      <c r="P401" s="10" t="s">
        <v>61</v>
      </c>
      <c r="Q401" s="10">
        <v>26</v>
      </c>
      <c r="R401" s="10">
        <v>22</v>
      </c>
      <c r="S401" s="9">
        <f t="shared" si="4"/>
        <v>37</v>
      </c>
      <c r="T401" s="9">
        <v>0</v>
      </c>
      <c r="U401" s="9">
        <v>0</v>
      </c>
      <c r="V401" s="9">
        <v>0</v>
      </c>
      <c r="W401" s="10">
        <v>7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E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X401" s="53" t="s">
        <v>734</v>
      </c>
      <c r="AY401" s="53" t="s">
        <v>694</v>
      </c>
    </row>
    <row r="402" spans="1:51" x14ac:dyDescent="0.3">
      <c r="A402" t="s">
        <v>771</v>
      </c>
      <c r="B402" t="s">
        <v>772</v>
      </c>
      <c r="C402">
        <v>41.543709999999997</v>
      </c>
      <c r="D402">
        <v>2.0849899999999999</v>
      </c>
      <c r="F402" s="10" t="s">
        <v>644</v>
      </c>
      <c r="G402" s="10" t="s">
        <v>54</v>
      </c>
      <c r="H402" s="11">
        <v>-1200</v>
      </c>
      <c r="I402" s="11">
        <v>-900</v>
      </c>
      <c r="J402" s="10" t="s">
        <v>132</v>
      </c>
      <c r="K402" s="10" t="s">
        <v>57</v>
      </c>
      <c r="M402" s="10" t="s">
        <v>77</v>
      </c>
      <c r="O402" s="10" t="s">
        <v>60</v>
      </c>
      <c r="P402" s="10" t="s">
        <v>61</v>
      </c>
      <c r="Q402" s="10">
        <v>16</v>
      </c>
      <c r="R402" s="10">
        <v>15</v>
      </c>
      <c r="S402" s="9">
        <f t="shared" si="4"/>
        <v>23.5</v>
      </c>
      <c r="T402" s="9">
        <v>0</v>
      </c>
      <c r="U402" s="9">
        <v>0</v>
      </c>
      <c r="V402" s="9">
        <v>0</v>
      </c>
      <c r="W402" s="10">
        <v>11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E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0</v>
      </c>
      <c r="AO402" s="10">
        <v>0</v>
      </c>
      <c r="AP402" s="10">
        <v>0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X402" s="53" t="s">
        <v>734</v>
      </c>
      <c r="AY402" s="53" t="s">
        <v>694</v>
      </c>
    </row>
    <row r="403" spans="1:51" x14ac:dyDescent="0.3">
      <c r="A403" t="s">
        <v>771</v>
      </c>
      <c r="B403" t="s">
        <v>772</v>
      </c>
      <c r="C403">
        <v>41.543709999999997</v>
      </c>
      <c r="D403">
        <v>2.0849899999999999</v>
      </c>
      <c r="F403" s="10" t="s">
        <v>644</v>
      </c>
      <c r="G403" s="10" t="s">
        <v>54</v>
      </c>
      <c r="H403" s="11">
        <v>-700</v>
      </c>
      <c r="I403" s="11">
        <v>-550</v>
      </c>
      <c r="J403" s="10" t="s">
        <v>299</v>
      </c>
      <c r="K403" s="10" t="s">
        <v>300</v>
      </c>
      <c r="M403" s="10" t="s">
        <v>77</v>
      </c>
      <c r="O403" s="10" t="s">
        <v>60</v>
      </c>
      <c r="P403" s="10" t="s">
        <v>61</v>
      </c>
      <c r="Q403" s="10">
        <v>366</v>
      </c>
      <c r="R403" s="10">
        <v>127</v>
      </c>
      <c r="S403" s="9">
        <f t="shared" si="4"/>
        <v>429.5</v>
      </c>
      <c r="T403" s="9">
        <v>12</v>
      </c>
      <c r="U403" s="9">
        <v>3</v>
      </c>
      <c r="V403" s="9">
        <f t="shared" ref="V403" si="7">T403+(U403/2)</f>
        <v>13.5</v>
      </c>
      <c r="W403" s="10">
        <v>19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E403" s="10">
        <v>0</v>
      </c>
      <c r="AG403" s="10">
        <v>1</v>
      </c>
      <c r="AH403" s="10">
        <v>3</v>
      </c>
      <c r="AI403" s="10">
        <v>0</v>
      </c>
      <c r="AJ403" s="10">
        <v>3</v>
      </c>
      <c r="AK403" s="10">
        <v>0</v>
      </c>
      <c r="AL403" s="10">
        <v>2</v>
      </c>
      <c r="AM403" s="10">
        <v>0</v>
      </c>
      <c r="AN403" s="10" t="s">
        <v>62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X403" s="53" t="s">
        <v>734</v>
      </c>
      <c r="AY403" s="53" t="s">
        <v>694</v>
      </c>
    </row>
    <row r="404" spans="1:51" x14ac:dyDescent="0.3">
      <c r="A404" t="s">
        <v>773</v>
      </c>
      <c r="B404" t="s">
        <v>772</v>
      </c>
      <c r="C404">
        <v>41.537435960000003</v>
      </c>
      <c r="D404">
        <v>2.134163</v>
      </c>
      <c r="F404" s="10" t="s">
        <v>644</v>
      </c>
      <c r="G404" s="10" t="s">
        <v>54</v>
      </c>
      <c r="H404" s="11">
        <v>-2000</v>
      </c>
      <c r="I404" s="11">
        <v>-1200</v>
      </c>
      <c r="J404" s="10" t="s">
        <v>56</v>
      </c>
      <c r="K404" s="10" t="s">
        <v>57</v>
      </c>
      <c r="M404" s="10" t="s">
        <v>77</v>
      </c>
      <c r="O404" s="10" t="s">
        <v>60</v>
      </c>
      <c r="P404" s="10" t="s">
        <v>61</v>
      </c>
      <c r="Q404" s="10">
        <v>8</v>
      </c>
      <c r="R404" s="10">
        <v>0</v>
      </c>
      <c r="S404" s="9">
        <v>8</v>
      </c>
      <c r="T404" s="9">
        <v>0</v>
      </c>
      <c r="U404" s="9">
        <v>0</v>
      </c>
      <c r="V404" s="9">
        <v>0</v>
      </c>
      <c r="W404" s="10">
        <v>4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E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O404" s="10">
        <v>0</v>
      </c>
      <c r="AP404" s="10">
        <v>0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X404" s="56" t="s">
        <v>774</v>
      </c>
      <c r="AY404" s="56" t="s">
        <v>775</v>
      </c>
    </row>
    <row r="405" spans="1:51" x14ac:dyDescent="0.3">
      <c r="A405" t="s">
        <v>773</v>
      </c>
      <c r="B405" t="s">
        <v>772</v>
      </c>
      <c r="C405">
        <v>41.537435960000003</v>
      </c>
      <c r="D405">
        <v>2.134163</v>
      </c>
      <c r="F405" s="10" t="s">
        <v>644</v>
      </c>
      <c r="G405" s="10" t="s">
        <v>54</v>
      </c>
      <c r="H405" s="11">
        <v>-1200</v>
      </c>
      <c r="I405" s="11">
        <v>-750</v>
      </c>
      <c r="J405" s="10" t="s">
        <v>195</v>
      </c>
      <c r="K405" s="10" t="s">
        <v>57</v>
      </c>
      <c r="M405" s="10" t="s">
        <v>77</v>
      </c>
      <c r="O405" s="10" t="s">
        <v>60</v>
      </c>
      <c r="P405" s="10" t="s">
        <v>61</v>
      </c>
      <c r="Q405" s="10">
        <v>892</v>
      </c>
      <c r="R405" s="10">
        <v>350</v>
      </c>
      <c r="S405" s="9">
        <f t="shared" si="4"/>
        <v>1067</v>
      </c>
      <c r="T405" s="9">
        <v>3</v>
      </c>
      <c r="U405" s="9">
        <v>0</v>
      </c>
      <c r="V405" s="9">
        <v>3</v>
      </c>
      <c r="W405" s="10">
        <v>22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E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0">
        <v>0</v>
      </c>
      <c r="AT405" s="10">
        <v>0</v>
      </c>
      <c r="AU405" s="10">
        <v>0</v>
      </c>
      <c r="AX405" s="56" t="s">
        <v>774</v>
      </c>
      <c r="AY405" s="56" t="s">
        <v>775</v>
      </c>
    </row>
    <row r="406" spans="1:51" x14ac:dyDescent="0.3">
      <c r="A406" t="s">
        <v>776</v>
      </c>
      <c r="B406" t="s">
        <v>777</v>
      </c>
      <c r="C406">
        <v>39.740639000000002</v>
      </c>
      <c r="D406">
        <v>-0.68469800000000003</v>
      </c>
      <c r="F406" s="10" t="s">
        <v>644</v>
      </c>
      <c r="G406" s="10" t="s">
        <v>54</v>
      </c>
      <c r="H406" s="11">
        <v>-400</v>
      </c>
      <c r="I406" s="11">
        <v>-200</v>
      </c>
      <c r="J406" s="10" t="s">
        <v>675</v>
      </c>
      <c r="K406" s="10" t="s">
        <v>300</v>
      </c>
      <c r="M406" s="10" t="s">
        <v>73</v>
      </c>
      <c r="O406" s="10" t="s">
        <v>60</v>
      </c>
      <c r="P406" s="10" t="s">
        <v>61</v>
      </c>
      <c r="Q406" s="10">
        <v>1843</v>
      </c>
      <c r="R406" s="10">
        <v>25</v>
      </c>
      <c r="S406" s="9">
        <f t="shared" si="4"/>
        <v>1855.5</v>
      </c>
      <c r="T406" s="9">
        <v>18</v>
      </c>
      <c r="U406" s="9">
        <v>0</v>
      </c>
      <c r="V406" s="9">
        <v>18</v>
      </c>
      <c r="W406" s="10">
        <v>14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E406" s="10">
        <v>0</v>
      </c>
      <c r="AG406" s="10">
        <v>1</v>
      </c>
      <c r="AH406" s="10">
        <v>3</v>
      </c>
      <c r="AI406" s="10">
        <v>0</v>
      </c>
      <c r="AJ406" s="10">
        <v>3</v>
      </c>
      <c r="AK406" s="10">
        <v>0</v>
      </c>
      <c r="AL406" s="10">
        <v>2</v>
      </c>
      <c r="AM406" s="14">
        <v>0</v>
      </c>
      <c r="AN406" s="10" t="s">
        <v>62</v>
      </c>
      <c r="AO406" s="10">
        <v>0</v>
      </c>
      <c r="AP406" s="10">
        <v>0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X406" s="53" t="s">
        <v>778</v>
      </c>
      <c r="AY406" s="53" t="s">
        <v>740</v>
      </c>
    </row>
    <row r="407" spans="1:51" x14ac:dyDescent="0.3">
      <c r="A407" t="s">
        <v>779</v>
      </c>
      <c r="B407" t="s">
        <v>780</v>
      </c>
      <c r="C407">
        <v>41.052204000000003</v>
      </c>
      <c r="D407">
        <v>0.706121</v>
      </c>
      <c r="F407" s="10" t="s">
        <v>644</v>
      </c>
      <c r="G407" s="10" t="s">
        <v>54</v>
      </c>
      <c r="H407" s="11">
        <v>-300</v>
      </c>
      <c r="I407" s="11">
        <v>-200</v>
      </c>
      <c r="J407" s="10" t="s">
        <v>675</v>
      </c>
      <c r="K407" s="10" t="s">
        <v>300</v>
      </c>
      <c r="M407" s="10" t="s">
        <v>73</v>
      </c>
      <c r="O407" s="10" t="s">
        <v>60</v>
      </c>
      <c r="P407" s="10" t="s">
        <v>61</v>
      </c>
      <c r="Q407" s="10">
        <v>78</v>
      </c>
      <c r="R407" s="10">
        <v>49</v>
      </c>
      <c r="S407" s="9">
        <f t="shared" si="4"/>
        <v>102.5</v>
      </c>
      <c r="T407" s="9">
        <v>4</v>
      </c>
      <c r="U407" s="9">
        <v>3</v>
      </c>
      <c r="V407" s="9">
        <f t="shared" ref="V407" si="8">T407+(U407/2)</f>
        <v>5.5</v>
      </c>
      <c r="W407" s="10">
        <v>20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E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O407" s="10">
        <v>0</v>
      </c>
      <c r="AP407" s="10">
        <v>0</v>
      </c>
      <c r="AQ407" s="10">
        <v>0</v>
      </c>
      <c r="AR407" s="10">
        <v>0</v>
      </c>
      <c r="AS407" s="10">
        <v>0</v>
      </c>
      <c r="AT407" s="10">
        <v>0</v>
      </c>
      <c r="AU407" s="10">
        <v>0</v>
      </c>
      <c r="AX407" s="55" t="s">
        <v>781</v>
      </c>
      <c r="AY407" s="53" t="s">
        <v>694</v>
      </c>
    </row>
    <row r="408" spans="1:51" x14ac:dyDescent="0.3">
      <c r="A408" t="s">
        <v>782</v>
      </c>
      <c r="B408" t="s">
        <v>783</v>
      </c>
      <c r="C408">
        <v>37.740107000000002</v>
      </c>
      <c r="D408">
        <v>-2.5657939999999999</v>
      </c>
      <c r="F408" s="10" t="s">
        <v>644</v>
      </c>
      <c r="G408" s="10" t="s">
        <v>54</v>
      </c>
      <c r="H408" s="11">
        <v>-1900</v>
      </c>
      <c r="I408" s="11">
        <v>-1600</v>
      </c>
      <c r="J408" s="10" t="s">
        <v>132</v>
      </c>
      <c r="K408" s="10" t="s">
        <v>57</v>
      </c>
      <c r="M408" s="10" t="s">
        <v>73</v>
      </c>
      <c r="O408" s="10" t="s">
        <v>60</v>
      </c>
      <c r="P408" s="10" t="s">
        <v>61</v>
      </c>
      <c r="Q408" s="10">
        <v>5517</v>
      </c>
      <c r="R408" s="10">
        <v>353</v>
      </c>
      <c r="S408" s="9">
        <f t="shared" si="4"/>
        <v>5693.5</v>
      </c>
      <c r="T408" s="9">
        <v>119</v>
      </c>
      <c r="U408" s="9">
        <v>0</v>
      </c>
      <c r="V408" s="9">
        <v>119</v>
      </c>
      <c r="W408" s="10">
        <v>34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E408" s="10">
        <v>0</v>
      </c>
      <c r="AG408" s="10">
        <v>1</v>
      </c>
      <c r="AH408" s="10">
        <v>103</v>
      </c>
      <c r="AI408" s="10">
        <v>0</v>
      </c>
      <c r="AJ408" s="10">
        <v>103</v>
      </c>
      <c r="AK408" s="10">
        <v>0</v>
      </c>
      <c r="AL408" s="10">
        <v>7</v>
      </c>
      <c r="AM408" s="14">
        <v>0</v>
      </c>
      <c r="AN408" s="10" t="s">
        <v>62</v>
      </c>
      <c r="AO408" s="10">
        <v>0</v>
      </c>
      <c r="AP408" s="10">
        <v>0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X408" s="55" t="s">
        <v>784</v>
      </c>
      <c r="AY408" s="55" t="s">
        <v>350</v>
      </c>
    </row>
    <row r="409" spans="1:51" x14ac:dyDescent="0.3">
      <c r="A409" t="s">
        <v>785</v>
      </c>
      <c r="B409" t="s">
        <v>786</v>
      </c>
      <c r="C409">
        <v>40.975318999999999</v>
      </c>
      <c r="D409">
        <v>0.527478</v>
      </c>
      <c r="F409" s="10" t="s">
        <v>644</v>
      </c>
      <c r="G409" s="10" t="s">
        <v>54</v>
      </c>
      <c r="H409" s="11">
        <v>-500</v>
      </c>
      <c r="I409" s="11">
        <v>-300</v>
      </c>
      <c r="J409" s="10" t="s">
        <v>675</v>
      </c>
      <c r="K409" s="10" t="s">
        <v>300</v>
      </c>
      <c r="M409" s="10" t="s">
        <v>73</v>
      </c>
      <c r="O409" s="10" t="s">
        <v>60</v>
      </c>
      <c r="P409" s="10" t="s">
        <v>61</v>
      </c>
      <c r="Q409" s="10">
        <v>6</v>
      </c>
      <c r="R409" s="10">
        <v>0</v>
      </c>
      <c r="S409" s="9">
        <v>6</v>
      </c>
      <c r="T409" s="9">
        <v>0</v>
      </c>
      <c r="U409" s="9">
        <v>0</v>
      </c>
      <c r="V409" s="9">
        <v>0</v>
      </c>
      <c r="W409" s="10">
        <v>1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E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X409" s="53" t="s">
        <v>734</v>
      </c>
      <c r="AY409" s="53" t="s">
        <v>694</v>
      </c>
    </row>
    <row r="410" spans="1:51" x14ac:dyDescent="0.3">
      <c r="A410" t="s">
        <v>787</v>
      </c>
      <c r="B410" t="s">
        <v>788</v>
      </c>
      <c r="C410">
        <v>39.837413069999997</v>
      </c>
      <c r="D410">
        <v>-0.81602200000000003</v>
      </c>
      <c r="F410" s="10" t="s">
        <v>644</v>
      </c>
      <c r="G410" s="10" t="s">
        <v>54</v>
      </c>
      <c r="H410" s="11">
        <v>-1700</v>
      </c>
      <c r="I410" s="11">
        <v>-1200</v>
      </c>
      <c r="J410" s="10" t="s">
        <v>132</v>
      </c>
      <c r="K410" s="10" t="s">
        <v>57</v>
      </c>
      <c r="M410" s="10" t="s">
        <v>59</v>
      </c>
      <c r="O410" s="10" t="s">
        <v>60</v>
      </c>
      <c r="P410" s="10" t="s">
        <v>61</v>
      </c>
      <c r="Q410" s="10">
        <v>42</v>
      </c>
      <c r="R410" s="10">
        <v>0</v>
      </c>
      <c r="S410" s="9">
        <v>42</v>
      </c>
      <c r="T410" s="9">
        <v>10</v>
      </c>
      <c r="U410" s="9">
        <v>12</v>
      </c>
      <c r="V410" s="9">
        <f t="shared" ref="V410" si="9">T410+(U410/2)</f>
        <v>16</v>
      </c>
      <c r="W410" s="10">
        <v>3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E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X410" s="53" t="s">
        <v>739</v>
      </c>
      <c r="AY410" s="53" t="s">
        <v>740</v>
      </c>
    </row>
    <row r="411" spans="1:51" x14ac:dyDescent="0.3">
      <c r="A411" t="s">
        <v>789</v>
      </c>
      <c r="B411" t="s">
        <v>790</v>
      </c>
      <c r="C411">
        <v>37.436416000000001</v>
      </c>
      <c r="D411">
        <v>-4.08012</v>
      </c>
      <c r="F411" s="10" t="s">
        <v>644</v>
      </c>
      <c r="G411" s="10" t="s">
        <v>54</v>
      </c>
      <c r="H411" s="11">
        <v>-300</v>
      </c>
      <c r="I411" s="11">
        <v>-200</v>
      </c>
      <c r="J411" s="10" t="s">
        <v>675</v>
      </c>
      <c r="K411" s="10" t="s">
        <v>300</v>
      </c>
      <c r="M411" s="10" t="s">
        <v>421</v>
      </c>
      <c r="O411" s="10" t="s">
        <v>60</v>
      </c>
      <c r="P411" s="10" t="s">
        <v>61</v>
      </c>
      <c r="Q411" s="10">
        <v>14</v>
      </c>
      <c r="R411" s="10">
        <v>0</v>
      </c>
      <c r="S411" s="9">
        <v>14</v>
      </c>
      <c r="T411" s="9">
        <v>3427</v>
      </c>
      <c r="U411" s="9">
        <v>0</v>
      </c>
      <c r="V411" s="9">
        <v>3427</v>
      </c>
      <c r="W411" s="10">
        <v>4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E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X411" s="55" t="s">
        <v>791</v>
      </c>
      <c r="AY411" s="55" t="s">
        <v>792</v>
      </c>
    </row>
    <row r="412" spans="1:51" x14ac:dyDescent="0.3">
      <c r="A412" t="s">
        <v>793</v>
      </c>
      <c r="B412" t="s">
        <v>794</v>
      </c>
      <c r="C412">
        <v>37.727153100000002</v>
      </c>
      <c r="D412">
        <v>-2.5140880000000001</v>
      </c>
      <c r="F412" s="10" t="s">
        <v>644</v>
      </c>
      <c r="G412" s="10" t="s">
        <v>54</v>
      </c>
      <c r="H412" s="11">
        <v>-2200</v>
      </c>
      <c r="I412" s="11">
        <v>-1900</v>
      </c>
      <c r="J412" s="10" t="s">
        <v>56</v>
      </c>
      <c r="K412" s="10" t="s">
        <v>57</v>
      </c>
      <c r="M412" s="10" t="s">
        <v>73</v>
      </c>
      <c r="O412" s="10" t="s">
        <v>60</v>
      </c>
      <c r="P412" s="10" t="s">
        <v>61</v>
      </c>
      <c r="Q412" s="10">
        <v>31416</v>
      </c>
      <c r="R412" s="10">
        <v>0</v>
      </c>
      <c r="S412" s="9">
        <v>31416</v>
      </c>
      <c r="T412" s="9">
        <v>5</v>
      </c>
      <c r="U412" s="9">
        <v>0</v>
      </c>
      <c r="V412" s="9">
        <v>5</v>
      </c>
      <c r="W412" s="10">
        <v>17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E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X412" s="55" t="s">
        <v>700</v>
      </c>
      <c r="AY412" s="55" t="s">
        <v>795</v>
      </c>
    </row>
    <row r="413" spans="1:51" x14ac:dyDescent="0.3">
      <c r="A413" t="s">
        <v>796</v>
      </c>
      <c r="B413" t="s">
        <v>797</v>
      </c>
      <c r="C413">
        <v>37.93591515</v>
      </c>
      <c r="D413">
        <v>-1.8152969999999999</v>
      </c>
      <c r="F413" s="10" t="s">
        <v>644</v>
      </c>
      <c r="G413" s="10" t="s">
        <v>54</v>
      </c>
      <c r="H413" s="11">
        <v>-2200</v>
      </c>
      <c r="I413" s="11">
        <v>-1700</v>
      </c>
      <c r="J413" s="10" t="s">
        <v>56</v>
      </c>
      <c r="K413" s="10" t="s">
        <v>57</v>
      </c>
      <c r="M413" s="10" t="s">
        <v>73</v>
      </c>
      <c r="O413" s="10" t="s">
        <v>60</v>
      </c>
      <c r="P413" s="10" t="s">
        <v>61</v>
      </c>
      <c r="Q413" s="10">
        <v>149</v>
      </c>
      <c r="R413" s="10">
        <v>0</v>
      </c>
      <c r="S413" s="9">
        <v>149</v>
      </c>
      <c r="T413" s="9">
        <v>4</v>
      </c>
      <c r="U413" s="9">
        <v>0</v>
      </c>
      <c r="V413" s="9">
        <v>4</v>
      </c>
      <c r="W413" s="10">
        <v>3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E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X413" s="55" t="s">
        <v>798</v>
      </c>
      <c r="AY413" s="55" t="s">
        <v>799</v>
      </c>
    </row>
    <row r="414" spans="1:51" x14ac:dyDescent="0.3">
      <c r="A414" t="s">
        <v>800</v>
      </c>
      <c r="B414" t="s">
        <v>801</v>
      </c>
      <c r="C414">
        <v>36.752412999999997</v>
      </c>
      <c r="D414">
        <v>-3.0090080000000001</v>
      </c>
      <c r="F414" s="10" t="s">
        <v>644</v>
      </c>
      <c r="G414" s="10" t="s">
        <v>54</v>
      </c>
      <c r="H414" s="11">
        <v>-800</v>
      </c>
      <c r="I414" s="11">
        <v>-500</v>
      </c>
      <c r="J414" s="10" t="s">
        <v>299</v>
      </c>
      <c r="K414" s="10" t="s">
        <v>300</v>
      </c>
      <c r="M414" s="10" t="s">
        <v>73</v>
      </c>
      <c r="O414" s="10" t="s">
        <v>60</v>
      </c>
      <c r="P414" s="10" t="s">
        <v>61</v>
      </c>
      <c r="Q414" s="10">
        <v>34</v>
      </c>
      <c r="R414" s="10">
        <v>0</v>
      </c>
      <c r="S414" s="9">
        <v>34</v>
      </c>
      <c r="T414" s="9">
        <v>3</v>
      </c>
      <c r="U414" s="9">
        <v>0</v>
      </c>
      <c r="V414" s="9">
        <v>3</v>
      </c>
      <c r="W414" s="10">
        <v>20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E414" s="10">
        <v>0</v>
      </c>
      <c r="AG414" s="10">
        <v>1</v>
      </c>
      <c r="AH414" s="10">
        <v>1</v>
      </c>
      <c r="AI414" s="10">
        <v>0</v>
      </c>
      <c r="AJ414" s="10">
        <v>1</v>
      </c>
      <c r="AK414" s="10">
        <v>0</v>
      </c>
      <c r="AL414" s="10">
        <v>1</v>
      </c>
      <c r="AM414" s="14">
        <v>0</v>
      </c>
      <c r="AN414" s="10" t="s">
        <v>84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X414" s="53" t="s">
        <v>802</v>
      </c>
      <c r="AY414" s="53" t="s">
        <v>740</v>
      </c>
    </row>
    <row r="415" spans="1:51" x14ac:dyDescent="0.3">
      <c r="A415" t="s">
        <v>803</v>
      </c>
      <c r="B415" t="s">
        <v>804</v>
      </c>
      <c r="C415">
        <v>37.987958800000001</v>
      </c>
      <c r="D415">
        <v>-3.472642</v>
      </c>
      <c r="F415" s="10" t="s">
        <v>644</v>
      </c>
      <c r="G415" s="10" t="s">
        <v>54</v>
      </c>
      <c r="H415" s="11">
        <v>-2000</v>
      </c>
      <c r="I415" s="11">
        <v>-1500</v>
      </c>
      <c r="J415" s="10" t="s">
        <v>56</v>
      </c>
      <c r="K415" s="10" t="s">
        <v>57</v>
      </c>
      <c r="M415" s="10" t="s">
        <v>59</v>
      </c>
      <c r="O415" s="10" t="s">
        <v>60</v>
      </c>
      <c r="P415" s="10" t="s">
        <v>61</v>
      </c>
      <c r="Q415" s="10">
        <v>8744</v>
      </c>
      <c r="R415" s="10">
        <v>3385</v>
      </c>
      <c r="S415" s="9">
        <f t="shared" ref="S415" si="10">Q415+(R415/2)</f>
        <v>10436.5</v>
      </c>
      <c r="T415" s="9">
        <v>130</v>
      </c>
      <c r="U415" s="9">
        <v>158</v>
      </c>
      <c r="V415" s="9">
        <f t="shared" ref="V415" si="11">T415+(U415/2)</f>
        <v>209</v>
      </c>
      <c r="W415" s="10">
        <v>20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E415" s="10">
        <v>0</v>
      </c>
      <c r="AG415" s="10">
        <v>1</v>
      </c>
      <c r="AH415" s="10">
        <v>48</v>
      </c>
      <c r="AI415" s="10">
        <v>18</v>
      </c>
      <c r="AJ415" s="10">
        <f>AH415+(AI415/2)</f>
        <v>57</v>
      </c>
      <c r="AK415" s="10">
        <v>0</v>
      </c>
      <c r="AL415" s="10">
        <v>2</v>
      </c>
      <c r="AM415" s="14">
        <v>0</v>
      </c>
      <c r="AN415" s="10" t="s">
        <v>62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X415" s="55" t="s">
        <v>805</v>
      </c>
      <c r="AY415" s="55" t="s">
        <v>806</v>
      </c>
    </row>
    <row r="416" spans="1:51" x14ac:dyDescent="0.3">
      <c r="A416" t="s">
        <v>807</v>
      </c>
      <c r="B416" t="s">
        <v>808</v>
      </c>
      <c r="C416">
        <v>36.672243000000002</v>
      </c>
      <c r="D416">
        <v>-4.4641029999999997</v>
      </c>
      <c r="F416" s="10" t="s">
        <v>644</v>
      </c>
      <c r="G416" s="10" t="s">
        <v>54</v>
      </c>
      <c r="H416" s="11">
        <v>-730</v>
      </c>
      <c r="I416" s="11">
        <v>-580</v>
      </c>
      <c r="J416" s="10" t="s">
        <v>299</v>
      </c>
      <c r="K416" s="10" t="s">
        <v>300</v>
      </c>
      <c r="M416" s="10" t="s">
        <v>73</v>
      </c>
      <c r="O416" s="10" t="s">
        <v>60</v>
      </c>
      <c r="P416" s="10" t="s">
        <v>61</v>
      </c>
      <c r="Q416" s="10">
        <v>7</v>
      </c>
      <c r="R416" s="10">
        <v>0</v>
      </c>
      <c r="S416" s="10">
        <v>7</v>
      </c>
      <c r="T416" s="10">
        <v>4</v>
      </c>
      <c r="U416" s="10">
        <v>0</v>
      </c>
      <c r="V416" s="10">
        <v>4</v>
      </c>
      <c r="W416" s="10">
        <v>54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E416" s="10">
        <v>0</v>
      </c>
      <c r="AG416" s="10">
        <v>1</v>
      </c>
      <c r="AH416" s="10">
        <v>3</v>
      </c>
      <c r="AI416" s="10">
        <v>0</v>
      </c>
      <c r="AJ416" s="10">
        <v>3</v>
      </c>
      <c r="AK416" s="10">
        <v>0</v>
      </c>
      <c r="AL416" s="10">
        <v>2</v>
      </c>
      <c r="AM416" s="14">
        <v>0</v>
      </c>
      <c r="AN416" s="10" t="s">
        <v>62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0</v>
      </c>
      <c r="AX416" s="55" t="s">
        <v>809</v>
      </c>
      <c r="AY416" s="55" t="s">
        <v>810</v>
      </c>
    </row>
    <row r="417" spans="1:51" x14ac:dyDescent="0.3">
      <c r="A417" t="s">
        <v>811</v>
      </c>
      <c r="B417" t="s">
        <v>712</v>
      </c>
      <c r="C417">
        <v>41.349854209999997</v>
      </c>
      <c r="D417">
        <v>1.7217769999999999</v>
      </c>
      <c r="F417" s="10" t="s">
        <v>644</v>
      </c>
      <c r="G417" s="10" t="s">
        <v>54</v>
      </c>
      <c r="H417" s="11">
        <v>-2000</v>
      </c>
      <c r="I417" s="11">
        <v>-1500</v>
      </c>
      <c r="J417" s="10" t="s">
        <v>56</v>
      </c>
      <c r="K417" s="10" t="s">
        <v>57</v>
      </c>
      <c r="M417" s="10" t="s">
        <v>59</v>
      </c>
      <c r="O417" s="10" t="s">
        <v>60</v>
      </c>
      <c r="P417" s="10" t="s">
        <v>61</v>
      </c>
      <c r="Q417" s="10">
        <v>3</v>
      </c>
      <c r="R417" s="10">
        <v>2</v>
      </c>
      <c r="S417" s="10">
        <f t="shared" ref="S417:S423" si="12">Q417+(R417/2)</f>
        <v>4</v>
      </c>
      <c r="T417" s="10">
        <v>1</v>
      </c>
      <c r="U417" s="10">
        <v>0</v>
      </c>
      <c r="V417" s="10">
        <v>1</v>
      </c>
      <c r="W417" s="10">
        <v>2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E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X417" s="53" t="s">
        <v>734</v>
      </c>
      <c r="AY417" s="53" t="s">
        <v>694</v>
      </c>
    </row>
    <row r="418" spans="1:51" x14ac:dyDescent="0.3">
      <c r="A418" t="s">
        <v>811</v>
      </c>
      <c r="B418" t="s">
        <v>712</v>
      </c>
      <c r="C418">
        <v>41.349854209999997</v>
      </c>
      <c r="D418">
        <v>1.7217769999999999</v>
      </c>
      <c r="F418" s="10" t="s">
        <v>644</v>
      </c>
      <c r="G418" s="10" t="s">
        <v>54</v>
      </c>
      <c r="H418" s="11">
        <v>-700</v>
      </c>
      <c r="I418" s="11">
        <v>-500</v>
      </c>
      <c r="J418" s="10" t="s">
        <v>299</v>
      </c>
      <c r="K418" s="10" t="s">
        <v>300</v>
      </c>
      <c r="M418" s="10" t="s">
        <v>59</v>
      </c>
      <c r="O418" s="10" t="s">
        <v>60</v>
      </c>
      <c r="P418" s="10" t="s">
        <v>61</v>
      </c>
      <c r="Q418" s="10">
        <v>6</v>
      </c>
      <c r="R418" s="10">
        <v>8</v>
      </c>
      <c r="S418" s="10">
        <f t="shared" si="12"/>
        <v>10</v>
      </c>
      <c r="T418" s="10">
        <v>0</v>
      </c>
      <c r="U418" s="10">
        <v>0</v>
      </c>
      <c r="V418" s="10">
        <v>0</v>
      </c>
      <c r="W418" s="10">
        <v>1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E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X418" s="53" t="s">
        <v>734</v>
      </c>
      <c r="AY418" s="53" t="s">
        <v>694</v>
      </c>
    </row>
    <row r="419" spans="1:51" x14ac:dyDescent="0.3">
      <c r="A419" t="s">
        <v>812</v>
      </c>
      <c r="B419" t="s">
        <v>813</v>
      </c>
      <c r="C419">
        <v>41.043971999999997</v>
      </c>
      <c r="D419">
        <v>0.45366400000000001</v>
      </c>
      <c r="F419" s="10" t="s">
        <v>644</v>
      </c>
      <c r="G419" s="10" t="s">
        <v>54</v>
      </c>
      <c r="H419" s="11">
        <v>-400</v>
      </c>
      <c r="I419" s="11">
        <v>-200</v>
      </c>
      <c r="J419" s="10" t="s">
        <v>299</v>
      </c>
      <c r="K419" s="10" t="s">
        <v>300</v>
      </c>
      <c r="M419" s="10" t="s">
        <v>73</v>
      </c>
      <c r="O419" s="10" t="s">
        <v>60</v>
      </c>
      <c r="P419" s="10" t="s">
        <v>61</v>
      </c>
      <c r="Q419" s="10">
        <v>33</v>
      </c>
      <c r="R419" s="10">
        <v>28</v>
      </c>
      <c r="S419" s="10">
        <f t="shared" si="12"/>
        <v>47</v>
      </c>
      <c r="T419" s="10">
        <v>8</v>
      </c>
      <c r="U419" s="10">
        <v>2</v>
      </c>
      <c r="V419" s="10">
        <f t="shared" ref="V419:V420" si="13">T419+(U419/2)</f>
        <v>9</v>
      </c>
      <c r="W419" s="10">
        <v>30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E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X419" s="53" t="s">
        <v>814</v>
      </c>
      <c r="AY419" s="53" t="s">
        <v>721</v>
      </c>
    </row>
    <row r="420" spans="1:51" x14ac:dyDescent="0.3">
      <c r="A420" t="s">
        <v>815</v>
      </c>
      <c r="B420" t="s">
        <v>194</v>
      </c>
      <c r="C420">
        <v>43.313079999999999</v>
      </c>
      <c r="D420">
        <v>3.4699200000000001</v>
      </c>
      <c r="F420" s="10" t="s">
        <v>644</v>
      </c>
      <c r="G420" s="10" t="s">
        <v>54</v>
      </c>
      <c r="H420" s="11">
        <v>-520</v>
      </c>
      <c r="I420" s="11">
        <v>-200</v>
      </c>
      <c r="J420" s="10" t="s">
        <v>299</v>
      </c>
      <c r="K420" s="10" t="s">
        <v>300</v>
      </c>
      <c r="M420" s="10" t="s">
        <v>73</v>
      </c>
      <c r="O420" s="10" t="s">
        <v>60</v>
      </c>
      <c r="P420" s="10" t="s">
        <v>61</v>
      </c>
      <c r="Q420" s="10">
        <v>535</v>
      </c>
      <c r="R420" s="10">
        <v>228</v>
      </c>
      <c r="S420" s="10">
        <f t="shared" si="12"/>
        <v>649</v>
      </c>
      <c r="T420" s="10">
        <v>99</v>
      </c>
      <c r="U420" s="10">
        <v>7</v>
      </c>
      <c r="V420" s="9">
        <f t="shared" si="13"/>
        <v>102.5</v>
      </c>
      <c r="W420" s="10">
        <v>2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E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0">
        <v>0</v>
      </c>
      <c r="AT420" s="10">
        <v>0</v>
      </c>
      <c r="AU420" s="10">
        <v>0</v>
      </c>
      <c r="AX420" s="55" t="s">
        <v>816</v>
      </c>
      <c r="AY420" s="55" t="s">
        <v>68</v>
      </c>
    </row>
    <row r="421" spans="1:51" x14ac:dyDescent="0.3">
      <c r="A421" t="s">
        <v>817</v>
      </c>
      <c r="B421" t="s">
        <v>330</v>
      </c>
      <c r="C421">
        <v>42.600160000000002</v>
      </c>
      <c r="D421">
        <v>2.9690099999999999</v>
      </c>
      <c r="F421" s="10" t="s">
        <v>53</v>
      </c>
      <c r="G421" s="10" t="s">
        <v>54</v>
      </c>
      <c r="H421" s="11">
        <v>-1200</v>
      </c>
      <c r="I421" s="11">
        <v>-900</v>
      </c>
      <c r="J421" s="10" t="s">
        <v>132</v>
      </c>
      <c r="K421" s="10" t="s">
        <v>57</v>
      </c>
      <c r="M421" s="10" t="s">
        <v>59</v>
      </c>
      <c r="O421" s="10" t="s">
        <v>60</v>
      </c>
      <c r="P421" s="10" t="s">
        <v>61</v>
      </c>
      <c r="Q421" s="10">
        <v>44</v>
      </c>
      <c r="R421" s="10">
        <v>0</v>
      </c>
      <c r="S421" s="10">
        <v>44</v>
      </c>
      <c r="T421" s="10">
        <v>0</v>
      </c>
      <c r="U421" s="10">
        <v>0</v>
      </c>
      <c r="V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E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X421" s="55" t="s">
        <v>818</v>
      </c>
      <c r="AY421" s="55" t="s">
        <v>68</v>
      </c>
    </row>
    <row r="422" spans="1:51" x14ac:dyDescent="0.3">
      <c r="A422" t="s">
        <v>819</v>
      </c>
      <c r="B422" t="s">
        <v>820</v>
      </c>
      <c r="C422">
        <v>43.618611999999999</v>
      </c>
      <c r="D422">
        <v>3.354568</v>
      </c>
      <c r="F422" s="10" t="s">
        <v>53</v>
      </c>
      <c r="G422" s="10" t="s">
        <v>54</v>
      </c>
      <c r="H422" s="11">
        <v>-400</v>
      </c>
      <c r="I422" s="11">
        <v>-200</v>
      </c>
      <c r="J422" s="10" t="s">
        <v>299</v>
      </c>
      <c r="K422" s="10" t="s">
        <v>300</v>
      </c>
      <c r="M422" s="10" t="s">
        <v>73</v>
      </c>
      <c r="O422" s="10" t="s">
        <v>60</v>
      </c>
      <c r="P422" s="10" t="s">
        <v>61</v>
      </c>
      <c r="Q422" s="10">
        <v>83</v>
      </c>
      <c r="R422" s="10">
        <v>299</v>
      </c>
      <c r="S422" s="9">
        <f t="shared" si="12"/>
        <v>232.5</v>
      </c>
      <c r="T422" s="10">
        <v>4</v>
      </c>
      <c r="U422" s="10">
        <v>0</v>
      </c>
      <c r="V422" s="10">
        <v>4</v>
      </c>
      <c r="W422" s="10">
        <v>4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E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0">
        <v>0</v>
      </c>
      <c r="AT422" s="10">
        <v>0</v>
      </c>
      <c r="AU422" s="10">
        <v>0</v>
      </c>
      <c r="AX422" s="55" t="s">
        <v>821</v>
      </c>
      <c r="AY422" s="55" t="s">
        <v>78</v>
      </c>
    </row>
    <row r="423" spans="1:51" x14ac:dyDescent="0.3">
      <c r="A423" t="s">
        <v>822</v>
      </c>
      <c r="B423" t="s">
        <v>823</v>
      </c>
      <c r="C423">
        <v>42.381148000000003</v>
      </c>
      <c r="D423">
        <v>1.7593989999999999</v>
      </c>
      <c r="F423" s="10" t="s">
        <v>644</v>
      </c>
      <c r="G423" s="10" t="s">
        <v>54</v>
      </c>
      <c r="H423" s="11">
        <v>-1500</v>
      </c>
      <c r="I423" s="11">
        <v>-1200</v>
      </c>
      <c r="J423" s="10" t="s">
        <v>132</v>
      </c>
      <c r="K423" s="10" t="s">
        <v>57</v>
      </c>
      <c r="M423" s="10" t="s">
        <v>67</v>
      </c>
      <c r="O423" s="10" t="s">
        <v>60</v>
      </c>
      <c r="P423" s="10" t="s">
        <v>61</v>
      </c>
      <c r="Q423" s="10">
        <v>49</v>
      </c>
      <c r="R423" s="10">
        <v>50</v>
      </c>
      <c r="S423" s="9">
        <f t="shared" si="12"/>
        <v>74</v>
      </c>
      <c r="T423" s="10">
        <v>0</v>
      </c>
      <c r="U423" s="10">
        <v>0</v>
      </c>
      <c r="V423" s="10">
        <v>0</v>
      </c>
      <c r="W423" s="10">
        <v>1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E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0</v>
      </c>
      <c r="AU423" s="10">
        <v>0</v>
      </c>
      <c r="AX423" s="55" t="s">
        <v>824</v>
      </c>
      <c r="AY423" s="55" t="s">
        <v>677</v>
      </c>
    </row>
    <row r="424" spans="1:51" x14ac:dyDescent="0.3">
      <c r="A424" t="s">
        <v>825</v>
      </c>
      <c r="B424" t="s">
        <v>826</v>
      </c>
      <c r="C424">
        <v>38.760565</v>
      </c>
      <c r="D424">
        <v>-0.59589499999999995</v>
      </c>
      <c r="F424" s="10" t="s">
        <v>644</v>
      </c>
      <c r="G424" s="10" t="s">
        <v>54</v>
      </c>
      <c r="H424" s="11">
        <v>-900</v>
      </c>
      <c r="I424" s="11">
        <v>-700</v>
      </c>
      <c r="J424" s="10" t="s">
        <v>195</v>
      </c>
      <c r="K424" s="10" t="s">
        <v>57</v>
      </c>
      <c r="M424" s="10" t="s">
        <v>67</v>
      </c>
      <c r="O424" s="10" t="s">
        <v>60</v>
      </c>
      <c r="P424" s="10" t="s">
        <v>61</v>
      </c>
      <c r="Q424" s="10">
        <v>343</v>
      </c>
      <c r="R424" s="10">
        <v>0</v>
      </c>
      <c r="S424" s="10">
        <v>343</v>
      </c>
      <c r="T424" s="10">
        <v>0</v>
      </c>
      <c r="U424" s="10">
        <v>0</v>
      </c>
      <c r="V424" s="10">
        <v>0</v>
      </c>
      <c r="W424" s="10">
        <v>1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E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X424" s="53" t="s">
        <v>739</v>
      </c>
      <c r="AY424" s="53" t="s">
        <v>740</v>
      </c>
    </row>
    <row r="425" spans="1:51" x14ac:dyDescent="0.3">
      <c r="A425" t="s">
        <v>827</v>
      </c>
      <c r="B425" t="s">
        <v>828</v>
      </c>
      <c r="C425">
        <v>42.042863369999999</v>
      </c>
      <c r="D425">
        <v>1.504734</v>
      </c>
      <c r="F425" s="10" t="s">
        <v>644</v>
      </c>
      <c r="G425" s="10" t="s">
        <v>54</v>
      </c>
      <c r="H425" s="11">
        <v>-2000</v>
      </c>
      <c r="I425" s="11">
        <v>-1500</v>
      </c>
      <c r="J425" s="10" t="s">
        <v>56</v>
      </c>
      <c r="K425" s="10" t="s">
        <v>57</v>
      </c>
      <c r="M425" s="10" t="s">
        <v>67</v>
      </c>
      <c r="O425" s="10" t="s">
        <v>60</v>
      </c>
      <c r="P425" s="10" t="s">
        <v>61</v>
      </c>
      <c r="Q425" s="10">
        <v>3</v>
      </c>
      <c r="R425" s="10">
        <v>0</v>
      </c>
      <c r="S425" s="10">
        <v>3</v>
      </c>
      <c r="T425" s="10">
        <v>0</v>
      </c>
      <c r="U425" s="10">
        <v>0</v>
      </c>
      <c r="V425" s="10">
        <v>0</v>
      </c>
      <c r="W425" s="10">
        <v>1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E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X425" s="55" t="s">
        <v>824</v>
      </c>
      <c r="AY425" s="55" t="s">
        <v>677</v>
      </c>
    </row>
    <row r="426" spans="1:51" x14ac:dyDescent="0.3">
      <c r="A426" t="s">
        <v>829</v>
      </c>
      <c r="B426" t="s">
        <v>830</v>
      </c>
      <c r="C426">
        <v>38.970464059999998</v>
      </c>
      <c r="D426">
        <v>-0.22683700000000001</v>
      </c>
      <c r="F426" s="10" t="s">
        <v>644</v>
      </c>
      <c r="G426" s="10" t="s">
        <v>54</v>
      </c>
      <c r="H426" s="11">
        <v>-2500</v>
      </c>
      <c r="I426" s="11">
        <v>-2000</v>
      </c>
      <c r="J426" s="10" t="s">
        <v>706</v>
      </c>
      <c r="K426" s="10" t="s">
        <v>646</v>
      </c>
      <c r="M426" s="10" t="s">
        <v>59</v>
      </c>
      <c r="O426" s="10" t="s">
        <v>60</v>
      </c>
      <c r="P426" s="10" t="s">
        <v>61</v>
      </c>
      <c r="Q426" s="10">
        <v>46</v>
      </c>
      <c r="R426" s="10">
        <v>0</v>
      </c>
      <c r="S426" s="10">
        <v>46</v>
      </c>
      <c r="T426" s="10">
        <v>1</v>
      </c>
      <c r="U426" s="10">
        <v>0</v>
      </c>
      <c r="V426" s="10">
        <v>1</v>
      </c>
      <c r="W426" s="10">
        <v>1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E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0">
        <v>0</v>
      </c>
      <c r="AT426" s="10">
        <v>0</v>
      </c>
      <c r="AU426" s="10">
        <v>0</v>
      </c>
      <c r="AX426" s="55" t="s">
        <v>831</v>
      </c>
      <c r="AY426" s="55" t="s">
        <v>832</v>
      </c>
    </row>
    <row r="427" spans="1:51" x14ac:dyDescent="0.3">
      <c r="A427" t="s">
        <v>833</v>
      </c>
      <c r="B427" t="s">
        <v>834</v>
      </c>
      <c r="C427">
        <v>41.535196859999999</v>
      </c>
      <c r="D427">
        <v>0.32085200000000003</v>
      </c>
      <c r="F427" s="10" t="s">
        <v>644</v>
      </c>
      <c r="G427" s="10" t="s">
        <v>54</v>
      </c>
      <c r="H427" s="11">
        <v>-1500</v>
      </c>
      <c r="I427" s="11">
        <v>-1200</v>
      </c>
      <c r="J427" s="10" t="s">
        <v>132</v>
      </c>
      <c r="K427" s="10" t="s">
        <v>57</v>
      </c>
      <c r="M427" s="10" t="s">
        <v>67</v>
      </c>
      <c r="O427" s="10" t="s">
        <v>60</v>
      </c>
      <c r="P427" s="10" t="s">
        <v>61</v>
      </c>
      <c r="Q427" s="10">
        <v>215</v>
      </c>
      <c r="R427" s="10">
        <v>0</v>
      </c>
      <c r="S427" s="10">
        <v>215</v>
      </c>
      <c r="T427" s="10">
        <v>2</v>
      </c>
      <c r="U427" s="10">
        <v>0</v>
      </c>
      <c r="V427" s="10">
        <v>2</v>
      </c>
      <c r="W427" s="10">
        <v>1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E427" s="10">
        <v>0</v>
      </c>
      <c r="AG427" s="10">
        <v>1</v>
      </c>
      <c r="AH427" s="10">
        <v>1</v>
      </c>
      <c r="AI427" s="10">
        <v>0</v>
      </c>
      <c r="AJ427" s="10">
        <v>1</v>
      </c>
      <c r="AK427" s="10">
        <v>0</v>
      </c>
      <c r="AL427" s="10">
        <v>0</v>
      </c>
      <c r="AM427" s="10">
        <v>0</v>
      </c>
      <c r="AN427" s="10" t="s">
        <v>62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X427" s="55" t="s">
        <v>835</v>
      </c>
      <c r="AY427" s="55" t="s">
        <v>677</v>
      </c>
    </row>
    <row r="428" spans="1:51" x14ac:dyDescent="0.3">
      <c r="A428" t="s">
        <v>836</v>
      </c>
      <c r="B428" t="s">
        <v>837</v>
      </c>
      <c r="C428">
        <v>37.350951510000002</v>
      </c>
      <c r="D428">
        <v>-3.2360690000000001</v>
      </c>
      <c r="F428" s="10" t="s">
        <v>644</v>
      </c>
      <c r="G428" s="10" t="s">
        <v>54</v>
      </c>
      <c r="H428" s="11">
        <v>-1800</v>
      </c>
      <c r="I428" s="11">
        <v>-1700</v>
      </c>
      <c r="J428" s="10" t="s">
        <v>56</v>
      </c>
      <c r="K428" s="10" t="s">
        <v>57</v>
      </c>
      <c r="M428" s="10" t="s">
        <v>73</v>
      </c>
      <c r="O428" s="10" t="s">
        <v>60</v>
      </c>
      <c r="P428" s="10" t="s">
        <v>61</v>
      </c>
      <c r="Q428" s="10">
        <v>4016</v>
      </c>
      <c r="R428" s="10">
        <v>0</v>
      </c>
      <c r="S428" s="10">
        <v>4016</v>
      </c>
      <c r="T428" s="10">
        <v>4</v>
      </c>
      <c r="U428" s="10">
        <v>0</v>
      </c>
      <c r="V428" s="10">
        <v>4</v>
      </c>
      <c r="W428" s="10">
        <v>1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E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X428" s="55" t="s">
        <v>700</v>
      </c>
      <c r="AY428" s="55" t="s">
        <v>795</v>
      </c>
    </row>
    <row r="429" spans="1:51" x14ac:dyDescent="0.3">
      <c r="A429" t="s">
        <v>838</v>
      </c>
      <c r="B429" t="s">
        <v>839</v>
      </c>
      <c r="C429">
        <v>38.501027970000003</v>
      </c>
      <c r="D429">
        <v>-1.369901</v>
      </c>
      <c r="F429" s="10" t="s">
        <v>644</v>
      </c>
      <c r="G429" s="10" t="s">
        <v>54</v>
      </c>
      <c r="H429" s="11">
        <v>-2200</v>
      </c>
      <c r="I429" s="11">
        <v>-1700</v>
      </c>
      <c r="J429" s="10" t="s">
        <v>56</v>
      </c>
      <c r="K429" s="10" t="s">
        <v>57</v>
      </c>
      <c r="M429" s="10" t="s">
        <v>67</v>
      </c>
      <c r="O429" s="10" t="s">
        <v>60</v>
      </c>
      <c r="P429" s="10" t="s">
        <v>61</v>
      </c>
      <c r="Q429" s="10">
        <v>188</v>
      </c>
      <c r="R429" s="10">
        <v>0</v>
      </c>
      <c r="S429" s="10">
        <v>188</v>
      </c>
      <c r="T429" s="10">
        <v>0</v>
      </c>
      <c r="U429" s="10">
        <v>0</v>
      </c>
      <c r="V429" s="10">
        <v>0</v>
      </c>
      <c r="W429" s="10">
        <v>1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E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0">
        <v>0</v>
      </c>
      <c r="AT429" s="10">
        <v>0</v>
      </c>
      <c r="AU429" s="10">
        <v>0</v>
      </c>
      <c r="AX429" s="55" t="s">
        <v>798</v>
      </c>
      <c r="AY429" s="55" t="s">
        <v>799</v>
      </c>
    </row>
    <row r="430" spans="1:51" x14ac:dyDescent="0.3">
      <c r="A430" t="s">
        <v>840</v>
      </c>
      <c r="B430" t="s">
        <v>841</v>
      </c>
      <c r="C430">
        <v>38.086568880000002</v>
      </c>
      <c r="D430">
        <v>-1.8075509999999999</v>
      </c>
      <c r="F430" s="10" t="s">
        <v>644</v>
      </c>
      <c r="G430" s="10" t="s">
        <v>54</v>
      </c>
      <c r="H430" s="11">
        <v>-2200</v>
      </c>
      <c r="I430" s="11">
        <v>-1700</v>
      </c>
      <c r="J430" s="10" t="s">
        <v>56</v>
      </c>
      <c r="K430" s="10" t="s">
        <v>57</v>
      </c>
      <c r="M430" s="10" t="s">
        <v>67</v>
      </c>
      <c r="O430" s="10" t="s">
        <v>60</v>
      </c>
      <c r="P430" s="10" t="s">
        <v>61</v>
      </c>
      <c r="Q430" s="10">
        <v>2</v>
      </c>
      <c r="R430" s="10">
        <v>0</v>
      </c>
      <c r="S430" s="10">
        <v>2</v>
      </c>
      <c r="T430" s="10">
        <v>0</v>
      </c>
      <c r="U430" s="10">
        <v>0</v>
      </c>
      <c r="V430" s="10">
        <v>0</v>
      </c>
      <c r="W430" s="10">
        <v>1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E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X430" s="55" t="s">
        <v>842</v>
      </c>
      <c r="AY430" s="55" t="s">
        <v>843</v>
      </c>
    </row>
    <row r="431" spans="1:51" x14ac:dyDescent="0.3">
      <c r="A431" t="s">
        <v>844</v>
      </c>
      <c r="B431" t="s">
        <v>845</v>
      </c>
      <c r="C431">
        <v>36.952991230000002</v>
      </c>
      <c r="D431">
        <v>-4.5383180000000003</v>
      </c>
      <c r="F431" s="10" t="s">
        <v>644</v>
      </c>
      <c r="G431" s="10" t="s">
        <v>54</v>
      </c>
      <c r="H431" s="11">
        <v>-1800</v>
      </c>
      <c r="I431" s="11">
        <v>-1600</v>
      </c>
      <c r="J431" s="10" t="s">
        <v>132</v>
      </c>
      <c r="K431" s="10" t="s">
        <v>57</v>
      </c>
      <c r="M431" s="10" t="s">
        <v>67</v>
      </c>
      <c r="O431" s="10" t="s">
        <v>60</v>
      </c>
      <c r="P431" s="10" t="s">
        <v>61</v>
      </c>
      <c r="Q431" s="10">
        <v>236</v>
      </c>
      <c r="R431" s="10">
        <v>0</v>
      </c>
      <c r="S431" s="10">
        <v>236</v>
      </c>
      <c r="T431" s="10">
        <v>48</v>
      </c>
      <c r="U431" s="10">
        <v>0</v>
      </c>
      <c r="V431" s="10">
        <v>48</v>
      </c>
      <c r="W431" s="10">
        <v>10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E431" s="10">
        <v>0</v>
      </c>
      <c r="AG431" s="10">
        <v>1</v>
      </c>
      <c r="AH431" s="10">
        <v>4</v>
      </c>
      <c r="AI431" s="10">
        <v>0</v>
      </c>
      <c r="AJ431" s="10">
        <v>4</v>
      </c>
      <c r="AK431" s="10">
        <v>0</v>
      </c>
      <c r="AL431" s="10">
        <v>0</v>
      </c>
      <c r="AM431" s="10">
        <v>0</v>
      </c>
      <c r="AN431" s="10" t="s">
        <v>62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X431" s="55" t="s">
        <v>700</v>
      </c>
      <c r="AY431" s="55" t="s">
        <v>795</v>
      </c>
    </row>
    <row r="432" spans="1:51" ht="24" x14ac:dyDescent="0.3">
      <c r="A432" t="s">
        <v>846</v>
      </c>
      <c r="B432" t="s">
        <v>777</v>
      </c>
      <c r="C432">
        <v>39.621372999999998</v>
      </c>
      <c r="D432">
        <v>-0.59929699999999997</v>
      </c>
      <c r="F432" s="10" t="s">
        <v>644</v>
      </c>
      <c r="G432" s="10" t="s">
        <v>54</v>
      </c>
      <c r="H432" s="11">
        <v>-400</v>
      </c>
      <c r="I432" s="11">
        <v>-200</v>
      </c>
      <c r="J432" s="10" t="s">
        <v>675</v>
      </c>
      <c r="K432" s="10" t="s">
        <v>300</v>
      </c>
      <c r="M432" s="10" t="s">
        <v>73</v>
      </c>
      <c r="O432" s="10" t="s">
        <v>60</v>
      </c>
      <c r="P432" s="10" t="s">
        <v>61</v>
      </c>
      <c r="Q432" s="10">
        <v>9</v>
      </c>
      <c r="R432" s="10">
        <v>0</v>
      </c>
      <c r="S432" s="10">
        <v>9</v>
      </c>
      <c r="T432" s="10">
        <v>0</v>
      </c>
      <c r="U432" s="10">
        <v>0</v>
      </c>
      <c r="V432" s="10">
        <v>0</v>
      </c>
      <c r="W432" s="10">
        <v>7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E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0">
        <v>0</v>
      </c>
      <c r="AT432" s="10">
        <v>0</v>
      </c>
      <c r="AU432" s="10">
        <v>0</v>
      </c>
      <c r="AX432" s="55" t="s">
        <v>847</v>
      </c>
      <c r="AY432" s="55" t="s">
        <v>740</v>
      </c>
    </row>
    <row r="433" spans="1:51" x14ac:dyDescent="0.3">
      <c r="A433" t="s">
        <v>848</v>
      </c>
      <c r="B433" t="s">
        <v>849</v>
      </c>
      <c r="C433">
        <v>37.876336999999999</v>
      </c>
      <c r="D433">
        <v>-4.2178360000000001</v>
      </c>
      <c r="F433" s="10" t="s">
        <v>644</v>
      </c>
      <c r="G433" s="10" t="s">
        <v>54</v>
      </c>
      <c r="H433" s="11">
        <v>-2200</v>
      </c>
      <c r="I433" s="11">
        <v>-1700</v>
      </c>
      <c r="J433" s="10" t="s">
        <v>56</v>
      </c>
      <c r="K433" s="10" t="s">
        <v>57</v>
      </c>
      <c r="M433" s="10" t="s">
        <v>73</v>
      </c>
      <c r="O433" s="10" t="s">
        <v>60</v>
      </c>
      <c r="P433" s="10" t="s">
        <v>61</v>
      </c>
      <c r="Q433" s="10">
        <v>8</v>
      </c>
      <c r="R433" s="10">
        <v>0</v>
      </c>
      <c r="S433" s="10">
        <v>8</v>
      </c>
      <c r="T433" s="10">
        <v>1</v>
      </c>
      <c r="U433" s="10">
        <v>0</v>
      </c>
      <c r="V433" s="10">
        <v>1</v>
      </c>
      <c r="W433" s="10">
        <v>1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E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X433" s="55" t="s">
        <v>850</v>
      </c>
      <c r="AY433" s="55" t="s">
        <v>851</v>
      </c>
    </row>
    <row r="434" spans="1:51" x14ac:dyDescent="0.3">
      <c r="A434" t="s">
        <v>852</v>
      </c>
      <c r="B434" t="s">
        <v>712</v>
      </c>
      <c r="C434">
        <v>41.362088</v>
      </c>
      <c r="D434">
        <v>1.7233510000000001</v>
      </c>
      <c r="F434" s="10" t="s">
        <v>644</v>
      </c>
      <c r="G434" s="10" t="s">
        <v>54</v>
      </c>
      <c r="H434" s="11">
        <v>-1800</v>
      </c>
      <c r="I434" s="11">
        <v>-1500</v>
      </c>
      <c r="J434" s="10" t="s">
        <v>56</v>
      </c>
      <c r="K434" s="10" t="s">
        <v>57</v>
      </c>
      <c r="M434" s="10" t="s">
        <v>59</v>
      </c>
      <c r="O434" s="10" t="s">
        <v>60</v>
      </c>
      <c r="P434" s="10" t="s">
        <v>61</v>
      </c>
      <c r="Q434" s="10">
        <v>4</v>
      </c>
      <c r="R434" s="10">
        <v>0</v>
      </c>
      <c r="S434" s="10">
        <v>4</v>
      </c>
      <c r="T434" s="10">
        <v>0</v>
      </c>
      <c r="U434" s="10">
        <v>0</v>
      </c>
      <c r="V434" s="10">
        <v>0</v>
      </c>
      <c r="W434" s="10">
        <v>3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E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X434" s="53" t="s">
        <v>734</v>
      </c>
      <c r="AY434" s="53" t="s">
        <v>694</v>
      </c>
    </row>
    <row r="435" spans="1:51" x14ac:dyDescent="0.3">
      <c r="A435" t="s">
        <v>852</v>
      </c>
      <c r="B435" t="s">
        <v>712</v>
      </c>
      <c r="C435">
        <v>41.362088</v>
      </c>
      <c r="D435">
        <v>1.7233510000000001</v>
      </c>
      <c r="F435" s="10" t="s">
        <v>644</v>
      </c>
      <c r="G435" s="10" t="s">
        <v>54</v>
      </c>
      <c r="H435" s="11">
        <v>-1300</v>
      </c>
      <c r="I435" s="11">
        <v>-750</v>
      </c>
      <c r="J435" s="10" t="s">
        <v>195</v>
      </c>
      <c r="K435" s="10" t="s">
        <v>57</v>
      </c>
      <c r="M435" s="10" t="s">
        <v>59</v>
      </c>
      <c r="O435" s="10" t="s">
        <v>60</v>
      </c>
      <c r="P435" s="10" t="s">
        <v>61</v>
      </c>
      <c r="Q435" s="10">
        <v>27</v>
      </c>
      <c r="R435" s="10">
        <v>21</v>
      </c>
      <c r="S435" s="9">
        <f t="shared" ref="S435:S441" si="14">Q435+(R435/2)</f>
        <v>37.5</v>
      </c>
      <c r="T435" s="10">
        <v>0</v>
      </c>
      <c r="U435" s="10">
        <v>0</v>
      </c>
      <c r="V435" s="10">
        <v>0</v>
      </c>
      <c r="W435" s="10">
        <v>3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E435" s="10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X435" s="53" t="s">
        <v>734</v>
      </c>
      <c r="AY435" s="53" t="s">
        <v>694</v>
      </c>
    </row>
    <row r="436" spans="1:51" x14ac:dyDescent="0.3">
      <c r="A436" t="s">
        <v>853</v>
      </c>
      <c r="B436" t="s">
        <v>854</v>
      </c>
      <c r="C436">
        <v>37.557248000000001</v>
      </c>
      <c r="D436">
        <v>-2.4229090000000002</v>
      </c>
      <c r="F436" s="10" t="s">
        <v>644</v>
      </c>
      <c r="G436" s="10" t="s">
        <v>54</v>
      </c>
      <c r="H436" s="11">
        <v>-2300</v>
      </c>
      <c r="I436" s="11">
        <v>-1900</v>
      </c>
      <c r="J436" s="10" t="s">
        <v>56</v>
      </c>
      <c r="K436" s="10" t="s">
        <v>57</v>
      </c>
      <c r="M436" s="10" t="s">
        <v>73</v>
      </c>
      <c r="O436" s="10" t="s">
        <v>60</v>
      </c>
      <c r="P436" s="10" t="s">
        <v>61</v>
      </c>
      <c r="Q436" s="10">
        <v>566</v>
      </c>
      <c r="R436" s="10">
        <v>13</v>
      </c>
      <c r="S436" s="9">
        <f t="shared" si="14"/>
        <v>572.5</v>
      </c>
      <c r="T436" s="10">
        <v>10</v>
      </c>
      <c r="U436" s="10">
        <v>4</v>
      </c>
      <c r="W436" s="10">
        <v>34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E436" s="10">
        <v>0</v>
      </c>
      <c r="AG436" s="10">
        <v>1</v>
      </c>
      <c r="AH436" s="10">
        <v>6</v>
      </c>
      <c r="AI436" s="10">
        <v>0</v>
      </c>
      <c r="AJ436" s="10">
        <v>6</v>
      </c>
      <c r="AK436" s="10">
        <v>0</v>
      </c>
      <c r="AL436" s="10">
        <v>5</v>
      </c>
      <c r="AM436" s="10">
        <v>0</v>
      </c>
      <c r="AN436" s="10" t="s">
        <v>500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X436" s="55" t="s">
        <v>700</v>
      </c>
      <c r="AY436" s="55" t="s">
        <v>795</v>
      </c>
    </row>
    <row r="437" spans="1:51" x14ac:dyDescent="0.3">
      <c r="A437" t="s">
        <v>855</v>
      </c>
      <c r="B437" t="s">
        <v>696</v>
      </c>
      <c r="C437">
        <v>37.332447299999998</v>
      </c>
      <c r="D437">
        <v>-1.747104</v>
      </c>
      <c r="F437" s="10" t="s">
        <v>644</v>
      </c>
      <c r="G437" s="10" t="s">
        <v>54</v>
      </c>
      <c r="H437" s="11">
        <v>-2200</v>
      </c>
      <c r="I437" s="11">
        <v>-1500</v>
      </c>
      <c r="J437" s="10" t="s">
        <v>56</v>
      </c>
      <c r="K437" s="10" t="s">
        <v>57</v>
      </c>
      <c r="M437" s="10" t="s">
        <v>73</v>
      </c>
      <c r="O437" s="10" t="s">
        <v>60</v>
      </c>
      <c r="P437" s="10" t="s">
        <v>61</v>
      </c>
      <c r="S437" s="9">
        <f t="shared" si="14"/>
        <v>0</v>
      </c>
      <c r="V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E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X437" s="55" t="s">
        <v>856</v>
      </c>
      <c r="AY437" s="55" t="s">
        <v>857</v>
      </c>
    </row>
    <row r="438" spans="1:51" x14ac:dyDescent="0.3">
      <c r="A438" t="s">
        <v>858</v>
      </c>
      <c r="B438" t="s">
        <v>859</v>
      </c>
      <c r="C438">
        <v>41.726053999999998</v>
      </c>
      <c r="D438">
        <v>0.45685799999999999</v>
      </c>
      <c r="F438" s="10" t="s">
        <v>644</v>
      </c>
      <c r="G438" s="10" t="s">
        <v>54</v>
      </c>
      <c r="H438" s="11">
        <v>-1560</v>
      </c>
      <c r="I438" s="11">
        <v>-1230</v>
      </c>
      <c r="J438" s="10" t="s">
        <v>132</v>
      </c>
      <c r="K438" s="10" t="s">
        <v>57</v>
      </c>
      <c r="M438" s="10" t="s">
        <v>59</v>
      </c>
      <c r="O438" s="10" t="s">
        <v>60</v>
      </c>
      <c r="P438" s="10" t="s">
        <v>61</v>
      </c>
      <c r="Q438" s="10">
        <v>41</v>
      </c>
      <c r="R438" s="10">
        <v>113</v>
      </c>
      <c r="S438" s="9">
        <f t="shared" si="14"/>
        <v>97.5</v>
      </c>
      <c r="T438" s="10">
        <v>0</v>
      </c>
      <c r="U438" s="10">
        <v>0</v>
      </c>
      <c r="V438" s="10">
        <v>0</v>
      </c>
      <c r="W438" s="10">
        <v>1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E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X438" s="55" t="s">
        <v>860</v>
      </c>
      <c r="AY438" s="55" t="s">
        <v>677</v>
      </c>
    </row>
    <row r="439" spans="1:51" x14ac:dyDescent="0.3">
      <c r="A439" t="s">
        <v>861</v>
      </c>
      <c r="B439" t="s">
        <v>859</v>
      </c>
      <c r="C439">
        <v>41.726053999999998</v>
      </c>
      <c r="D439">
        <v>0.45685799999999999</v>
      </c>
      <c r="F439" s="10" t="s">
        <v>644</v>
      </c>
      <c r="G439" s="10" t="s">
        <v>54</v>
      </c>
      <c r="H439" s="11">
        <v>-1250</v>
      </c>
      <c r="I439" s="11">
        <v>-1000</v>
      </c>
      <c r="J439" s="10" t="s">
        <v>132</v>
      </c>
      <c r="K439" s="10" t="s">
        <v>57</v>
      </c>
      <c r="M439" s="10" t="s">
        <v>59</v>
      </c>
      <c r="O439" s="10" t="s">
        <v>60</v>
      </c>
      <c r="P439" s="10" t="s">
        <v>61</v>
      </c>
      <c r="Q439" s="10">
        <v>29</v>
      </c>
      <c r="R439" s="10">
        <v>8</v>
      </c>
      <c r="S439" s="9">
        <f t="shared" si="14"/>
        <v>33</v>
      </c>
      <c r="T439" s="10">
        <v>0</v>
      </c>
      <c r="U439" s="10">
        <v>0</v>
      </c>
      <c r="V439" s="10">
        <v>0</v>
      </c>
      <c r="W439" s="10">
        <v>2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E439" s="10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X439" s="55" t="s">
        <v>860</v>
      </c>
      <c r="AY439" s="55" t="s">
        <v>677</v>
      </c>
    </row>
    <row r="440" spans="1:51" x14ac:dyDescent="0.3">
      <c r="A440" t="s">
        <v>862</v>
      </c>
      <c r="B440" t="s">
        <v>859</v>
      </c>
      <c r="C440">
        <v>41.726053999999998</v>
      </c>
      <c r="D440">
        <v>0.45685799999999999</v>
      </c>
      <c r="F440" s="10" t="s">
        <v>644</v>
      </c>
      <c r="G440" s="10" t="s">
        <v>54</v>
      </c>
      <c r="H440" s="11">
        <v>-1000</v>
      </c>
      <c r="I440" s="11">
        <v>-750</v>
      </c>
      <c r="J440" s="10" t="s">
        <v>195</v>
      </c>
      <c r="K440" s="10" t="s">
        <v>57</v>
      </c>
      <c r="M440" s="10" t="s">
        <v>59</v>
      </c>
      <c r="O440" s="10" t="s">
        <v>60</v>
      </c>
      <c r="P440" s="10" t="s">
        <v>61</v>
      </c>
      <c r="Q440" s="10">
        <v>605</v>
      </c>
      <c r="R440" s="10">
        <v>1210</v>
      </c>
      <c r="S440" s="9">
        <f t="shared" si="14"/>
        <v>1210</v>
      </c>
      <c r="T440" s="10">
        <v>1</v>
      </c>
      <c r="U440" s="10">
        <v>0</v>
      </c>
      <c r="V440" s="10">
        <v>1</v>
      </c>
      <c r="W440" s="10">
        <v>15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E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X440" s="55" t="s">
        <v>860</v>
      </c>
      <c r="AY440" s="55" t="s">
        <v>677</v>
      </c>
    </row>
    <row r="441" spans="1:51" x14ac:dyDescent="0.3">
      <c r="A441" t="s">
        <v>863</v>
      </c>
      <c r="B441" t="s">
        <v>859</v>
      </c>
      <c r="C441">
        <v>41.726053999999998</v>
      </c>
      <c r="D441">
        <v>0.45685799999999999</v>
      </c>
      <c r="F441" s="10" t="s">
        <v>644</v>
      </c>
      <c r="G441" s="10" t="s">
        <v>54</v>
      </c>
      <c r="H441" s="11">
        <v>-750</v>
      </c>
      <c r="I441" s="11">
        <v>-500</v>
      </c>
      <c r="J441" s="10" t="s">
        <v>299</v>
      </c>
      <c r="K441" s="10" t="s">
        <v>300</v>
      </c>
      <c r="M441" s="10" t="s">
        <v>59</v>
      </c>
      <c r="O441" s="10" t="s">
        <v>60</v>
      </c>
      <c r="P441" s="10" t="s">
        <v>61</v>
      </c>
      <c r="Q441" s="10">
        <v>179</v>
      </c>
      <c r="R441" s="10">
        <v>524</v>
      </c>
      <c r="S441" s="9">
        <f t="shared" si="14"/>
        <v>441</v>
      </c>
      <c r="T441" s="10">
        <v>0</v>
      </c>
      <c r="U441" s="10">
        <v>0</v>
      </c>
      <c r="V441" s="10">
        <v>0</v>
      </c>
      <c r="W441" s="10">
        <v>2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E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X441" s="55" t="s">
        <v>860</v>
      </c>
      <c r="AY441" s="55" t="s">
        <v>677</v>
      </c>
    </row>
    <row r="442" spans="1:51" ht="24" x14ac:dyDescent="0.3">
      <c r="A442" t="s">
        <v>864</v>
      </c>
      <c r="B442" t="s">
        <v>865</v>
      </c>
      <c r="C442">
        <v>40.863005309999998</v>
      </c>
      <c r="D442">
        <v>0.36896099999999998</v>
      </c>
      <c r="F442" s="10" t="s">
        <v>644</v>
      </c>
      <c r="G442" s="10" t="s">
        <v>54</v>
      </c>
      <c r="H442" s="11">
        <v>-750</v>
      </c>
      <c r="I442" s="11">
        <v>-500</v>
      </c>
      <c r="J442" s="10" t="s">
        <v>299</v>
      </c>
      <c r="K442" s="10" t="s">
        <v>300</v>
      </c>
      <c r="M442" s="10" t="s">
        <v>59</v>
      </c>
      <c r="O442" s="10" t="s">
        <v>60</v>
      </c>
      <c r="P442" s="10" t="s">
        <v>61</v>
      </c>
      <c r="Q442" s="10">
        <v>4355</v>
      </c>
      <c r="R442" s="10">
        <v>0</v>
      </c>
      <c r="S442" s="10">
        <v>4355</v>
      </c>
      <c r="T442" s="10">
        <v>0</v>
      </c>
      <c r="U442" s="10">
        <v>0</v>
      </c>
      <c r="V442" s="10">
        <v>0</v>
      </c>
      <c r="W442" s="10">
        <v>3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E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0">
        <v>0</v>
      </c>
      <c r="AT442" s="10">
        <v>0</v>
      </c>
      <c r="AU442" s="10">
        <v>0</v>
      </c>
      <c r="AX442" s="55" t="s">
        <v>720</v>
      </c>
      <c r="AY442" s="55" t="s">
        <v>721</v>
      </c>
    </row>
    <row r="443" spans="1:51" x14ac:dyDescent="0.3">
      <c r="A443" t="s">
        <v>866</v>
      </c>
      <c r="B443" t="s">
        <v>867</v>
      </c>
      <c r="C443">
        <v>41.175531790000001</v>
      </c>
      <c r="D443">
        <v>1.324533</v>
      </c>
      <c r="F443" s="10" t="s">
        <v>644</v>
      </c>
      <c r="G443" s="10" t="s">
        <v>54</v>
      </c>
      <c r="H443" s="11">
        <v>-400</v>
      </c>
      <c r="I443" s="11">
        <v>-200</v>
      </c>
      <c r="J443" s="10" t="s">
        <v>675</v>
      </c>
      <c r="K443" s="10" t="s">
        <v>300</v>
      </c>
      <c r="M443" s="10" t="s">
        <v>59</v>
      </c>
      <c r="O443" s="10" t="s">
        <v>60</v>
      </c>
      <c r="P443" s="10" t="s">
        <v>61</v>
      </c>
      <c r="Q443" s="10">
        <v>13</v>
      </c>
      <c r="R443" s="10">
        <v>0</v>
      </c>
      <c r="S443" s="10">
        <v>13</v>
      </c>
      <c r="T443" s="10">
        <v>4</v>
      </c>
      <c r="U443" s="10">
        <v>0</v>
      </c>
      <c r="V443" s="10">
        <v>4</v>
      </c>
      <c r="W443" s="10">
        <v>3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E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X443" s="53" t="s">
        <v>734</v>
      </c>
      <c r="AY443" s="53" t="s">
        <v>694</v>
      </c>
    </row>
    <row r="444" spans="1:51" x14ac:dyDescent="0.3">
      <c r="A444" t="s">
        <v>868</v>
      </c>
      <c r="B444" t="s">
        <v>869</v>
      </c>
      <c r="C444">
        <v>38.006061000000003</v>
      </c>
      <c r="D444">
        <v>-3.3673069999999998</v>
      </c>
      <c r="F444" s="10" t="s">
        <v>644</v>
      </c>
      <c r="G444" s="10" t="s">
        <v>54</v>
      </c>
      <c r="H444" s="11">
        <v>-2200</v>
      </c>
      <c r="I444" s="11">
        <v>-1700</v>
      </c>
      <c r="J444" s="10" t="s">
        <v>56</v>
      </c>
      <c r="K444" s="10" t="s">
        <v>57</v>
      </c>
      <c r="M444" s="10" t="s">
        <v>59</v>
      </c>
      <c r="O444" s="10" t="s">
        <v>60</v>
      </c>
      <c r="P444" s="10" t="s">
        <v>61</v>
      </c>
      <c r="Q444" s="10">
        <v>9800</v>
      </c>
      <c r="R444" s="10">
        <v>2397</v>
      </c>
      <c r="S444" s="9">
        <f t="shared" ref="S444:S445" si="15">Q444+(R444/2)</f>
        <v>10998.5</v>
      </c>
      <c r="T444" s="10">
        <v>2221</v>
      </c>
      <c r="U444" s="10">
        <v>736</v>
      </c>
      <c r="V444" s="10">
        <f t="shared" ref="V444" si="16">T444+(U444/2)</f>
        <v>2589</v>
      </c>
      <c r="W444" s="10">
        <v>29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E444" s="10">
        <v>0</v>
      </c>
      <c r="AG444" s="10">
        <v>1</v>
      </c>
      <c r="AH444" s="10">
        <v>177</v>
      </c>
      <c r="AI444" s="10">
        <v>11</v>
      </c>
      <c r="AJ444" s="10">
        <f>AH444+(AI444/2)</f>
        <v>182.5</v>
      </c>
      <c r="AK444" s="10">
        <v>0</v>
      </c>
      <c r="AL444" s="10">
        <v>10</v>
      </c>
      <c r="AM444" s="10">
        <v>0</v>
      </c>
      <c r="AN444" s="10" t="s">
        <v>62</v>
      </c>
      <c r="AO444" s="10">
        <v>0</v>
      </c>
      <c r="AP444" s="10">
        <v>0</v>
      </c>
      <c r="AQ444" s="10">
        <v>0</v>
      </c>
      <c r="AR444" s="10">
        <v>0</v>
      </c>
      <c r="AS444" s="10">
        <v>0</v>
      </c>
      <c r="AT444" s="10">
        <v>0</v>
      </c>
      <c r="AU444" s="10">
        <v>0</v>
      </c>
      <c r="AX444" s="55" t="s">
        <v>870</v>
      </c>
      <c r="AY444" s="55" t="s">
        <v>806</v>
      </c>
    </row>
    <row r="445" spans="1:51" x14ac:dyDescent="0.3">
      <c r="A445" t="s">
        <v>871</v>
      </c>
      <c r="B445" t="s">
        <v>712</v>
      </c>
      <c r="C445">
        <v>40.424047059999999</v>
      </c>
      <c r="D445">
        <v>-0.24512700000000001</v>
      </c>
      <c r="F445" s="10" t="s">
        <v>644</v>
      </c>
      <c r="G445" s="10" t="s">
        <v>54</v>
      </c>
      <c r="H445" s="11">
        <v>-2200</v>
      </c>
      <c r="I445" s="11">
        <v>-1700</v>
      </c>
      <c r="J445" s="10" t="s">
        <v>56</v>
      </c>
      <c r="K445" s="10" t="s">
        <v>57</v>
      </c>
      <c r="M445" s="10" t="s">
        <v>59</v>
      </c>
      <c r="O445" s="10" t="s">
        <v>60</v>
      </c>
      <c r="P445" s="10" t="s">
        <v>61</v>
      </c>
      <c r="Q445" s="10">
        <v>4305</v>
      </c>
      <c r="R445" s="10">
        <v>638</v>
      </c>
      <c r="S445" s="9">
        <f t="shared" si="15"/>
        <v>4624</v>
      </c>
      <c r="T445" s="10">
        <v>11</v>
      </c>
      <c r="U445" s="10">
        <v>0</v>
      </c>
      <c r="V445" s="10">
        <v>11</v>
      </c>
      <c r="W445" s="10">
        <v>35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E445" s="10">
        <v>0</v>
      </c>
      <c r="AG445" s="10">
        <v>1</v>
      </c>
      <c r="AH445" s="10">
        <v>2</v>
      </c>
      <c r="AI445" s="10">
        <v>0</v>
      </c>
      <c r="AJ445" s="10">
        <v>2</v>
      </c>
      <c r="AK445" s="10">
        <v>0</v>
      </c>
      <c r="AL445" s="10">
        <v>2</v>
      </c>
      <c r="AM445" s="10">
        <v>0</v>
      </c>
      <c r="AN445" s="10" t="s">
        <v>62</v>
      </c>
      <c r="AO445" s="10">
        <v>0</v>
      </c>
      <c r="AP445" s="10">
        <v>0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X445" s="53" t="s">
        <v>739</v>
      </c>
      <c r="AY445" s="53" t="s">
        <v>740</v>
      </c>
    </row>
    <row r="446" spans="1:51" ht="24" x14ac:dyDescent="0.3">
      <c r="A446" t="s">
        <v>872</v>
      </c>
      <c r="B446" t="s">
        <v>873</v>
      </c>
      <c r="C446">
        <v>41.611910999999999</v>
      </c>
      <c r="D446">
        <v>1.1240520000000001</v>
      </c>
      <c r="F446" s="10" t="s">
        <v>644</v>
      </c>
      <c r="G446" s="10" t="s">
        <v>54</v>
      </c>
      <c r="H446" s="11">
        <v>-300</v>
      </c>
      <c r="I446" s="11">
        <v>-200</v>
      </c>
      <c r="J446" s="10" t="s">
        <v>675</v>
      </c>
      <c r="K446" s="10" t="s">
        <v>300</v>
      </c>
      <c r="M446" s="10" t="s">
        <v>73</v>
      </c>
      <c r="O446" s="10" t="s">
        <v>60</v>
      </c>
      <c r="P446" s="10" t="s">
        <v>61</v>
      </c>
      <c r="Q446" s="10">
        <v>8530</v>
      </c>
      <c r="R446" s="10">
        <v>0</v>
      </c>
      <c r="S446" s="10">
        <v>8530</v>
      </c>
      <c r="T446" s="10">
        <v>6</v>
      </c>
      <c r="U446" s="10">
        <v>0</v>
      </c>
      <c r="V446" s="10">
        <v>6</v>
      </c>
      <c r="W446" s="10">
        <v>39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E446" s="10">
        <v>0</v>
      </c>
      <c r="AG446" s="10">
        <v>1</v>
      </c>
      <c r="AH446" s="10">
        <v>6</v>
      </c>
      <c r="AI446" s="10">
        <v>0</v>
      </c>
      <c r="AJ446" s="10">
        <v>6</v>
      </c>
      <c r="AK446" s="10">
        <v>0</v>
      </c>
      <c r="AL446" s="10">
        <v>3</v>
      </c>
      <c r="AM446" s="10">
        <v>0</v>
      </c>
      <c r="AN446" s="10" t="s">
        <v>500</v>
      </c>
      <c r="AO446" s="10">
        <v>0</v>
      </c>
      <c r="AP446" s="10">
        <v>0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X446" s="55" t="s">
        <v>874</v>
      </c>
      <c r="AY446" s="55" t="s">
        <v>875</v>
      </c>
    </row>
    <row r="447" spans="1:51" x14ac:dyDescent="0.3">
      <c r="A447" t="s">
        <v>876</v>
      </c>
      <c r="B447" t="s">
        <v>877</v>
      </c>
      <c r="C447">
        <v>41.334257000000001</v>
      </c>
      <c r="D447">
        <v>1.809477</v>
      </c>
      <c r="F447" s="10" t="s">
        <v>644</v>
      </c>
      <c r="G447" s="10" t="s">
        <v>54</v>
      </c>
      <c r="H447" s="11">
        <v>-750</v>
      </c>
      <c r="I447" s="11">
        <v>-500</v>
      </c>
      <c r="J447" s="10" t="s">
        <v>299</v>
      </c>
      <c r="K447" s="10" t="s">
        <v>300</v>
      </c>
      <c r="M447" s="10" t="s">
        <v>241</v>
      </c>
      <c r="O447" s="10" t="s">
        <v>60</v>
      </c>
      <c r="P447" s="10" t="s">
        <v>61</v>
      </c>
      <c r="S447" s="10">
        <v>141744</v>
      </c>
      <c r="V447" s="10">
        <v>71199</v>
      </c>
      <c r="W447" s="10">
        <v>79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E447" s="10">
        <v>0</v>
      </c>
      <c r="AG447" s="10">
        <v>1</v>
      </c>
      <c r="AH447" s="10">
        <v>7</v>
      </c>
      <c r="AI447" s="10">
        <v>0</v>
      </c>
      <c r="AJ447" s="10">
        <v>7</v>
      </c>
      <c r="AK447" s="10">
        <v>0</v>
      </c>
      <c r="AL447" s="10">
        <v>4</v>
      </c>
      <c r="AM447" s="10">
        <v>0</v>
      </c>
      <c r="AN447" s="10" t="s">
        <v>62</v>
      </c>
      <c r="AO447" s="10">
        <v>0</v>
      </c>
      <c r="AP447" s="10">
        <v>0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X447" s="56" t="s">
        <v>878</v>
      </c>
      <c r="AY447" s="56" t="s">
        <v>694</v>
      </c>
    </row>
    <row r="448" spans="1:51" x14ac:dyDescent="0.3">
      <c r="A448" t="s">
        <v>876</v>
      </c>
      <c r="B448" t="s">
        <v>877</v>
      </c>
      <c r="C448">
        <v>41.334257000000001</v>
      </c>
      <c r="D448">
        <v>1.809477</v>
      </c>
      <c r="F448" s="10" t="s">
        <v>644</v>
      </c>
      <c r="G448" s="10" t="s">
        <v>54</v>
      </c>
      <c r="H448" s="11">
        <v>-500</v>
      </c>
      <c r="I448" s="11">
        <v>-200</v>
      </c>
      <c r="J448" s="10" t="s">
        <v>675</v>
      </c>
      <c r="K448" s="10" t="s">
        <v>300</v>
      </c>
      <c r="M448" s="10" t="s">
        <v>241</v>
      </c>
      <c r="O448" s="10" t="s">
        <v>60</v>
      </c>
      <c r="P448" s="10" t="s">
        <v>61</v>
      </c>
      <c r="S448" s="10">
        <v>7109</v>
      </c>
      <c r="V448" s="10">
        <v>368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E448" s="10">
        <v>0</v>
      </c>
      <c r="AG448" s="10">
        <v>1</v>
      </c>
      <c r="AH448" s="10">
        <v>4</v>
      </c>
      <c r="AI448" s="10">
        <v>0</v>
      </c>
      <c r="AJ448" s="10">
        <v>4</v>
      </c>
      <c r="AK448" s="10">
        <v>0</v>
      </c>
      <c r="AL448" s="10">
        <v>2</v>
      </c>
      <c r="AM448" s="10">
        <v>0</v>
      </c>
      <c r="AN448" s="10" t="s">
        <v>62</v>
      </c>
      <c r="AO448" s="10">
        <v>0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0</v>
      </c>
      <c r="AX448" s="56" t="s">
        <v>878</v>
      </c>
      <c r="AY448" s="56" t="s">
        <v>694</v>
      </c>
    </row>
    <row r="449" spans="1:51" x14ac:dyDescent="0.3">
      <c r="A449" t="s">
        <v>879</v>
      </c>
      <c r="B449" t="s">
        <v>783</v>
      </c>
      <c r="C449">
        <v>37.748779999999996</v>
      </c>
      <c r="D449">
        <v>-2.545795</v>
      </c>
      <c r="F449" s="10" t="s">
        <v>644</v>
      </c>
      <c r="G449" s="10" t="s">
        <v>54</v>
      </c>
      <c r="H449" s="11">
        <v>-2200</v>
      </c>
      <c r="I449" s="11">
        <v>-1800</v>
      </c>
      <c r="J449" s="10" t="s">
        <v>56</v>
      </c>
      <c r="K449" s="10" t="s">
        <v>57</v>
      </c>
      <c r="M449" s="10" t="s">
        <v>73</v>
      </c>
      <c r="O449" s="10" t="s">
        <v>60</v>
      </c>
      <c r="P449" s="10" t="s">
        <v>61</v>
      </c>
      <c r="S449" s="10">
        <v>110</v>
      </c>
      <c r="V449" s="10">
        <v>0</v>
      </c>
      <c r="W449" s="10">
        <v>8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E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O449" s="10">
        <v>0</v>
      </c>
      <c r="AP449" s="10">
        <v>0</v>
      </c>
      <c r="AQ449" s="10">
        <v>0</v>
      </c>
      <c r="AR449" s="10">
        <v>0</v>
      </c>
      <c r="AS449" s="10">
        <v>0</v>
      </c>
      <c r="AT449" s="10">
        <v>0</v>
      </c>
      <c r="AU449" s="10">
        <v>0</v>
      </c>
      <c r="AX449" s="56" t="s">
        <v>697</v>
      </c>
      <c r="AY449" s="56" t="s">
        <v>851</v>
      </c>
    </row>
    <row r="450" spans="1:51" x14ac:dyDescent="0.3">
      <c r="A450" t="s">
        <v>879</v>
      </c>
      <c r="B450" t="s">
        <v>783</v>
      </c>
      <c r="C450">
        <v>37.748779999999996</v>
      </c>
      <c r="D450">
        <v>-2.545795</v>
      </c>
      <c r="F450" s="10" t="s">
        <v>644</v>
      </c>
      <c r="G450" s="10" t="s">
        <v>54</v>
      </c>
      <c r="H450" s="11">
        <v>-500</v>
      </c>
      <c r="I450" s="11">
        <v>-200</v>
      </c>
      <c r="J450" s="10" t="s">
        <v>675</v>
      </c>
      <c r="K450" s="10" t="s">
        <v>300</v>
      </c>
      <c r="M450" s="10" t="s">
        <v>73</v>
      </c>
      <c r="O450" s="10" t="s">
        <v>60</v>
      </c>
      <c r="P450" s="10" t="s">
        <v>61</v>
      </c>
      <c r="S450" s="10">
        <v>236</v>
      </c>
      <c r="V450" s="10">
        <v>1</v>
      </c>
      <c r="W450" s="10">
        <v>22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E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0">
        <v>0</v>
      </c>
      <c r="AT450" s="10">
        <v>0</v>
      </c>
      <c r="AU450" s="10">
        <v>0</v>
      </c>
      <c r="AX450" s="56" t="s">
        <v>697</v>
      </c>
      <c r="AY450" s="56" t="s">
        <v>851</v>
      </c>
    </row>
    <row r="451" spans="1:51" x14ac:dyDescent="0.3">
      <c r="A451" t="s">
        <v>880</v>
      </c>
      <c r="B451" t="s">
        <v>881</v>
      </c>
      <c r="C451">
        <v>41.47600585</v>
      </c>
      <c r="D451">
        <v>0.47934300000000002</v>
      </c>
      <c r="F451" s="10" t="s">
        <v>644</v>
      </c>
      <c r="G451" s="10" t="s">
        <v>54</v>
      </c>
      <c r="H451" s="11">
        <v>-1200</v>
      </c>
      <c r="I451" s="11">
        <v>-800</v>
      </c>
      <c r="J451" s="10" t="s">
        <v>195</v>
      </c>
      <c r="K451" s="10" t="s">
        <v>57</v>
      </c>
      <c r="M451" s="10" t="s">
        <v>59</v>
      </c>
      <c r="O451" s="10" t="s">
        <v>60</v>
      </c>
      <c r="P451" s="10" t="s">
        <v>61</v>
      </c>
      <c r="S451" s="10">
        <v>9</v>
      </c>
      <c r="V451" s="10">
        <v>0</v>
      </c>
      <c r="W451" s="10">
        <v>1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E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0">
        <v>0</v>
      </c>
      <c r="AT451" s="10">
        <v>0</v>
      </c>
      <c r="AU451" s="10">
        <v>0</v>
      </c>
      <c r="AX451" s="55" t="s">
        <v>882</v>
      </c>
      <c r="AY451" s="55" t="s">
        <v>677</v>
      </c>
    </row>
    <row r="452" spans="1:51" ht="28.8" x14ac:dyDescent="0.3">
      <c r="A452" s="57" t="s">
        <v>883</v>
      </c>
      <c r="B452" t="s">
        <v>884</v>
      </c>
      <c r="C452">
        <v>37.300716000000001</v>
      </c>
      <c r="D452">
        <v>-3.1388579999999999</v>
      </c>
      <c r="F452" s="10" t="s">
        <v>644</v>
      </c>
      <c r="G452" s="10" t="s">
        <v>54</v>
      </c>
      <c r="H452" s="11">
        <v>-1400</v>
      </c>
      <c r="I452" s="11">
        <v>-900</v>
      </c>
      <c r="J452" s="10" t="s">
        <v>195</v>
      </c>
      <c r="K452" s="10" t="s">
        <v>57</v>
      </c>
      <c r="M452" s="10" t="s">
        <v>73</v>
      </c>
      <c r="O452" s="10" t="s">
        <v>60</v>
      </c>
      <c r="P452" s="10" t="s">
        <v>61</v>
      </c>
      <c r="Q452" s="10">
        <v>119</v>
      </c>
      <c r="R452" s="10">
        <v>181</v>
      </c>
      <c r="S452" s="9">
        <f t="shared" ref="S452:S455" si="17">Q452+(R452/2)</f>
        <v>209.5</v>
      </c>
      <c r="T452" s="10">
        <v>2</v>
      </c>
      <c r="U452" s="10">
        <v>0</v>
      </c>
      <c r="V452" s="10">
        <v>2</v>
      </c>
      <c r="W452" s="10">
        <v>10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E452" s="10">
        <v>0</v>
      </c>
      <c r="AG452" s="10">
        <v>1</v>
      </c>
      <c r="AH452" s="10">
        <v>0</v>
      </c>
      <c r="AI452" s="10">
        <v>1</v>
      </c>
      <c r="AJ452" s="10">
        <v>1</v>
      </c>
      <c r="AK452" s="10">
        <v>0</v>
      </c>
      <c r="AL452" s="10">
        <v>1</v>
      </c>
      <c r="AM452" s="10">
        <v>0</v>
      </c>
      <c r="AN452" s="10" t="s">
        <v>62</v>
      </c>
      <c r="AO452" s="10">
        <v>0</v>
      </c>
      <c r="AP452" s="10">
        <v>0</v>
      </c>
      <c r="AQ452" s="10">
        <v>0</v>
      </c>
      <c r="AR452" s="10">
        <v>0</v>
      </c>
      <c r="AS452" s="10">
        <v>0</v>
      </c>
      <c r="AT452" s="10">
        <v>0</v>
      </c>
      <c r="AU452" s="10">
        <v>0</v>
      </c>
      <c r="AX452" s="55" t="s">
        <v>784</v>
      </c>
      <c r="AY452" s="55" t="s">
        <v>350</v>
      </c>
    </row>
    <row r="453" spans="1:51" x14ac:dyDescent="0.3">
      <c r="A453" t="s">
        <v>885</v>
      </c>
      <c r="B453" t="s">
        <v>885</v>
      </c>
      <c r="C453">
        <v>37.257770999999998</v>
      </c>
      <c r="D453">
        <v>-6.9520799999999996</v>
      </c>
      <c r="F453" s="10" t="s">
        <v>644</v>
      </c>
      <c r="G453" s="10" t="s">
        <v>54</v>
      </c>
      <c r="H453" s="11">
        <v>-1000</v>
      </c>
      <c r="I453" s="11">
        <v>-800</v>
      </c>
      <c r="J453" s="10" t="s">
        <v>195</v>
      </c>
      <c r="K453" s="10" t="s">
        <v>57</v>
      </c>
      <c r="M453" s="10" t="s">
        <v>73</v>
      </c>
      <c r="O453" s="10" t="s">
        <v>60</v>
      </c>
      <c r="P453" s="10" t="s">
        <v>61</v>
      </c>
      <c r="Q453" s="10">
        <v>158</v>
      </c>
      <c r="R453" s="10">
        <v>14</v>
      </c>
      <c r="S453" s="9">
        <f t="shared" si="17"/>
        <v>165</v>
      </c>
      <c r="T453" s="10">
        <v>9</v>
      </c>
      <c r="U453" s="10">
        <v>0</v>
      </c>
      <c r="V453" s="10">
        <v>9</v>
      </c>
      <c r="W453" s="10">
        <v>11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E453" s="10">
        <v>0</v>
      </c>
      <c r="AG453" s="10">
        <v>1</v>
      </c>
      <c r="AH453" s="10">
        <v>2</v>
      </c>
      <c r="AI453" s="10">
        <v>0</v>
      </c>
      <c r="AJ453" s="10">
        <v>2</v>
      </c>
      <c r="AK453" s="10">
        <v>0</v>
      </c>
      <c r="AL453" s="10">
        <v>1</v>
      </c>
      <c r="AM453" s="10">
        <v>0</v>
      </c>
      <c r="AN453" s="10" t="s">
        <v>62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>
        <v>0</v>
      </c>
      <c r="AU453" s="10">
        <v>0</v>
      </c>
      <c r="AX453" s="55" t="s">
        <v>886</v>
      </c>
      <c r="AY453" s="55" t="s">
        <v>672</v>
      </c>
    </row>
    <row r="454" spans="1:51" x14ac:dyDescent="0.3">
      <c r="A454" t="s">
        <v>887</v>
      </c>
      <c r="B454" t="s">
        <v>888</v>
      </c>
      <c r="C454">
        <v>42.006872000000001</v>
      </c>
      <c r="D454">
        <v>3.0805609999999999</v>
      </c>
      <c r="F454" s="10" t="s">
        <v>644</v>
      </c>
      <c r="G454" s="10" t="s">
        <v>54</v>
      </c>
      <c r="H454" s="11">
        <v>-600</v>
      </c>
      <c r="I454" s="11">
        <v>-500</v>
      </c>
      <c r="J454" s="10" t="s">
        <v>299</v>
      </c>
      <c r="K454" s="10" t="s">
        <v>300</v>
      </c>
      <c r="M454" s="10" t="s">
        <v>73</v>
      </c>
      <c r="O454" s="10" t="s">
        <v>60</v>
      </c>
      <c r="P454" s="10" t="s">
        <v>61</v>
      </c>
      <c r="Q454" s="10">
        <v>159</v>
      </c>
      <c r="R454" s="10">
        <v>42</v>
      </c>
      <c r="S454" s="9">
        <f t="shared" si="17"/>
        <v>180</v>
      </c>
      <c r="T454" s="10">
        <v>2</v>
      </c>
      <c r="U454" s="10">
        <v>0</v>
      </c>
      <c r="V454" s="10">
        <v>2</v>
      </c>
      <c r="W454" s="10">
        <v>3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E454" s="10">
        <v>0</v>
      </c>
      <c r="AG454" s="10">
        <v>1</v>
      </c>
      <c r="AH454" s="10">
        <v>1</v>
      </c>
      <c r="AI454" s="10">
        <v>0</v>
      </c>
      <c r="AJ454" s="10">
        <v>1</v>
      </c>
      <c r="AK454" s="10">
        <v>0</v>
      </c>
      <c r="AL454" s="10">
        <v>1</v>
      </c>
      <c r="AM454" s="10">
        <v>0</v>
      </c>
      <c r="AN454" s="10" t="s">
        <v>62</v>
      </c>
      <c r="AO454" s="10">
        <v>0</v>
      </c>
      <c r="AP454" s="10">
        <v>0</v>
      </c>
      <c r="AQ454" s="10">
        <v>0</v>
      </c>
      <c r="AR454" s="10">
        <v>0</v>
      </c>
      <c r="AS454" s="10">
        <v>0</v>
      </c>
      <c r="AT454" s="10">
        <v>0</v>
      </c>
      <c r="AU454" s="10">
        <v>0</v>
      </c>
      <c r="AX454" s="56" t="s">
        <v>700</v>
      </c>
      <c r="AY454" s="56" t="s">
        <v>701</v>
      </c>
    </row>
    <row r="455" spans="1:51" x14ac:dyDescent="0.3">
      <c r="A455" t="s">
        <v>887</v>
      </c>
      <c r="B455" t="s">
        <v>888</v>
      </c>
      <c r="C455">
        <v>42.006872000000001</v>
      </c>
      <c r="D455">
        <v>3.0805609999999999</v>
      </c>
      <c r="F455" s="10" t="s">
        <v>644</v>
      </c>
      <c r="G455" s="10" t="s">
        <v>54</v>
      </c>
      <c r="H455" s="11">
        <v>-500</v>
      </c>
      <c r="I455" s="11">
        <v>-200</v>
      </c>
      <c r="J455" s="10" t="s">
        <v>675</v>
      </c>
      <c r="K455" s="10" t="s">
        <v>300</v>
      </c>
      <c r="M455" s="10" t="s">
        <v>73</v>
      </c>
      <c r="O455" s="10" t="s">
        <v>60</v>
      </c>
      <c r="P455" s="10" t="s">
        <v>61</v>
      </c>
      <c r="Q455" s="10">
        <v>348</v>
      </c>
      <c r="R455" s="10">
        <v>87</v>
      </c>
      <c r="S455" s="9">
        <f t="shared" si="17"/>
        <v>391.5</v>
      </c>
      <c r="T455" s="10">
        <v>23</v>
      </c>
      <c r="U455" s="10">
        <v>0</v>
      </c>
      <c r="V455" s="10">
        <v>23</v>
      </c>
      <c r="W455" s="10">
        <v>37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E455" s="10">
        <v>0</v>
      </c>
      <c r="AG455" s="10">
        <v>1</v>
      </c>
      <c r="AH455" s="10">
        <v>8</v>
      </c>
      <c r="AI455" s="10">
        <v>0</v>
      </c>
      <c r="AJ455" s="10">
        <v>8</v>
      </c>
      <c r="AK455" s="10">
        <v>0</v>
      </c>
      <c r="AL455" s="10">
        <v>4</v>
      </c>
      <c r="AM455" s="10">
        <v>0</v>
      </c>
      <c r="AN455" s="10" t="s">
        <v>62</v>
      </c>
      <c r="AO455" s="10">
        <v>0</v>
      </c>
      <c r="AP455" s="10">
        <v>0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X455" s="56" t="s">
        <v>700</v>
      </c>
      <c r="AY455" s="56" t="s">
        <v>701</v>
      </c>
    </row>
    <row r="456" spans="1:51" x14ac:dyDescent="0.3">
      <c r="A456" t="s">
        <v>889</v>
      </c>
      <c r="B456" t="s">
        <v>890</v>
      </c>
      <c r="C456">
        <v>38.432229</v>
      </c>
      <c r="D456">
        <v>-0.38172600000000001</v>
      </c>
      <c r="F456" s="10" t="s">
        <v>644</v>
      </c>
      <c r="G456" s="10" t="s">
        <v>54</v>
      </c>
      <c r="H456" s="11">
        <v>-400</v>
      </c>
      <c r="I456" s="11">
        <v>-200</v>
      </c>
      <c r="J456" s="10" t="s">
        <v>675</v>
      </c>
      <c r="K456" s="10" t="s">
        <v>300</v>
      </c>
      <c r="M456" s="10" t="s">
        <v>73</v>
      </c>
      <c r="O456" s="10" t="s">
        <v>60</v>
      </c>
      <c r="P456" s="10" t="s">
        <v>61</v>
      </c>
      <c r="S456" s="10">
        <v>5153</v>
      </c>
      <c r="V456" s="10">
        <v>2</v>
      </c>
      <c r="W456" s="10">
        <v>24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E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0">
        <v>0</v>
      </c>
      <c r="AT456" s="10">
        <v>0</v>
      </c>
      <c r="AU456" s="10">
        <v>0</v>
      </c>
      <c r="AX456" s="55" t="s">
        <v>891</v>
      </c>
      <c r="AY456" s="55" t="s">
        <v>672</v>
      </c>
    </row>
    <row r="457" spans="1:51" x14ac:dyDescent="0.3">
      <c r="A457" t="s">
        <v>892</v>
      </c>
      <c r="B457" t="s">
        <v>893</v>
      </c>
      <c r="C457">
        <v>39.553832999999997</v>
      </c>
      <c r="D457">
        <v>-1.277058</v>
      </c>
      <c r="F457" s="10" t="s">
        <v>644</v>
      </c>
      <c r="G457" s="10" t="s">
        <v>54</v>
      </c>
      <c r="H457" s="11">
        <v>-750</v>
      </c>
      <c r="I457" s="11">
        <v>-500</v>
      </c>
      <c r="J457" s="10" t="s">
        <v>299</v>
      </c>
      <c r="K457" s="10" t="s">
        <v>300</v>
      </c>
      <c r="M457" s="10" t="s">
        <v>73</v>
      </c>
      <c r="O457" s="10" t="s">
        <v>60</v>
      </c>
      <c r="P457" s="10" t="s">
        <v>61</v>
      </c>
      <c r="S457" s="10">
        <v>101</v>
      </c>
      <c r="V457" s="10">
        <v>0</v>
      </c>
      <c r="W457" s="10">
        <v>83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E457" s="10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X457" s="55" t="s">
        <v>891</v>
      </c>
      <c r="AY457" s="55" t="s">
        <v>672</v>
      </c>
    </row>
    <row r="458" spans="1:51" x14ac:dyDescent="0.3">
      <c r="A458" t="s">
        <v>892</v>
      </c>
      <c r="B458" t="s">
        <v>893</v>
      </c>
      <c r="C458">
        <v>39.553832999999997</v>
      </c>
      <c r="D458">
        <v>-1.277058</v>
      </c>
      <c r="F458" s="10" t="s">
        <v>644</v>
      </c>
      <c r="G458" s="10" t="s">
        <v>54</v>
      </c>
      <c r="H458" s="11">
        <v>-500</v>
      </c>
      <c r="I458" s="11">
        <v>-200</v>
      </c>
      <c r="J458" s="10" t="s">
        <v>675</v>
      </c>
      <c r="K458" s="10" t="s">
        <v>300</v>
      </c>
      <c r="M458" s="10" t="s">
        <v>73</v>
      </c>
      <c r="O458" s="10" t="s">
        <v>60</v>
      </c>
      <c r="P458" s="10" t="s">
        <v>61</v>
      </c>
      <c r="S458" s="10">
        <v>3604</v>
      </c>
      <c r="V458" s="10">
        <v>36</v>
      </c>
      <c r="W458" s="10">
        <v>36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E458" s="10">
        <v>0</v>
      </c>
      <c r="AG458" s="10">
        <v>1</v>
      </c>
      <c r="AH458" s="10">
        <v>2</v>
      </c>
      <c r="AI458" s="10">
        <v>0</v>
      </c>
      <c r="AJ458" s="10">
        <v>2</v>
      </c>
      <c r="AK458" s="10">
        <v>0</v>
      </c>
      <c r="AL458" s="10">
        <v>2</v>
      </c>
      <c r="AM458" s="10">
        <v>0</v>
      </c>
      <c r="AN458" s="10" t="s">
        <v>62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X458" s="55" t="s">
        <v>891</v>
      </c>
      <c r="AY458" s="55" t="s">
        <v>672</v>
      </c>
    </row>
    <row r="459" spans="1:51" x14ac:dyDescent="0.3">
      <c r="A459" t="s">
        <v>894</v>
      </c>
      <c r="B459" t="s">
        <v>895</v>
      </c>
      <c r="C459">
        <v>38.505000000000003</v>
      </c>
      <c r="D459">
        <v>-0.52310000000000001</v>
      </c>
      <c r="F459" s="10" t="s">
        <v>644</v>
      </c>
      <c r="G459" s="10" t="s">
        <v>54</v>
      </c>
      <c r="H459" s="11">
        <v>-1700</v>
      </c>
      <c r="I459" s="11">
        <v>-1300</v>
      </c>
      <c r="J459" s="10" t="s">
        <v>132</v>
      </c>
      <c r="K459" s="10" t="s">
        <v>57</v>
      </c>
      <c r="M459" s="10" t="s">
        <v>73</v>
      </c>
      <c r="O459" s="10" t="s">
        <v>60</v>
      </c>
      <c r="P459" s="10" t="s">
        <v>61</v>
      </c>
      <c r="Q459" s="10">
        <v>75</v>
      </c>
      <c r="R459" s="10">
        <v>264</v>
      </c>
      <c r="S459" s="10">
        <f t="shared" ref="S459" si="18">Q459+(R459/2)</f>
        <v>207</v>
      </c>
      <c r="T459" s="10">
        <v>4</v>
      </c>
      <c r="U459" s="10">
        <v>16</v>
      </c>
      <c r="V459" s="10">
        <f t="shared" ref="V459" si="19">T459+(U459/2)</f>
        <v>12</v>
      </c>
      <c r="W459" s="10">
        <v>34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E459" s="10">
        <v>0</v>
      </c>
      <c r="AG459" s="10">
        <v>1</v>
      </c>
      <c r="AH459" s="10">
        <v>1</v>
      </c>
      <c r="AI459" s="10">
        <v>0</v>
      </c>
      <c r="AJ459" s="10">
        <v>1</v>
      </c>
      <c r="AK459" s="10">
        <v>0</v>
      </c>
      <c r="AL459" s="10">
        <v>1</v>
      </c>
      <c r="AM459" s="10">
        <v>0</v>
      </c>
      <c r="AN459" s="10" t="s">
        <v>62</v>
      </c>
      <c r="AO459" s="10">
        <v>0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X459" s="55" t="s">
        <v>891</v>
      </c>
      <c r="AY459" s="55" t="s">
        <v>672</v>
      </c>
    </row>
    <row r="460" spans="1:51" x14ac:dyDescent="0.3">
      <c r="A460" t="s">
        <v>896</v>
      </c>
      <c r="B460" t="s">
        <v>897</v>
      </c>
      <c r="C460">
        <v>38.829459</v>
      </c>
      <c r="D460">
        <v>-0.79556099999999996</v>
      </c>
      <c r="F460" s="10" t="s">
        <v>644</v>
      </c>
      <c r="G460" s="10" t="s">
        <v>54</v>
      </c>
      <c r="H460" s="11">
        <v>-400</v>
      </c>
      <c r="I460" s="11">
        <v>-200</v>
      </c>
      <c r="J460" s="10" t="s">
        <v>675</v>
      </c>
      <c r="K460" s="10" t="s">
        <v>300</v>
      </c>
      <c r="M460" s="10" t="s">
        <v>421</v>
      </c>
      <c r="O460" s="10" t="s">
        <v>60</v>
      </c>
      <c r="P460" s="10" t="s">
        <v>61</v>
      </c>
      <c r="Q460"/>
      <c r="S460" s="10">
        <v>49465</v>
      </c>
      <c r="V460" s="10">
        <v>365</v>
      </c>
      <c r="W460" s="10">
        <v>64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E460" s="10">
        <v>0</v>
      </c>
      <c r="AG460" s="10">
        <v>1</v>
      </c>
      <c r="AH460" s="10">
        <v>2</v>
      </c>
      <c r="AI460" s="10">
        <v>0</v>
      </c>
      <c r="AJ460" s="10">
        <v>2</v>
      </c>
      <c r="AK460" s="10">
        <v>0</v>
      </c>
      <c r="AL460" s="10">
        <v>2</v>
      </c>
      <c r="AM460" s="10">
        <v>0</v>
      </c>
      <c r="AN460" s="10" t="s">
        <v>62</v>
      </c>
      <c r="AO460" s="10">
        <v>0</v>
      </c>
      <c r="AP460" s="10">
        <v>0</v>
      </c>
      <c r="AQ460" s="10">
        <v>0</v>
      </c>
      <c r="AR460" s="10">
        <v>0</v>
      </c>
      <c r="AS460" s="10">
        <v>0</v>
      </c>
      <c r="AT460" s="10">
        <v>0</v>
      </c>
      <c r="AU460" s="10">
        <v>0</v>
      </c>
      <c r="AX460" s="55" t="s">
        <v>891</v>
      </c>
      <c r="AY460" s="55" t="s">
        <v>672</v>
      </c>
    </row>
    <row r="461" spans="1:51" x14ac:dyDescent="0.3">
      <c r="A461" t="s">
        <v>898</v>
      </c>
      <c r="B461" t="s">
        <v>899</v>
      </c>
      <c r="C461">
        <v>39.2913</v>
      </c>
      <c r="D461">
        <v>-1.0608</v>
      </c>
      <c r="F461" s="10" t="s">
        <v>644</v>
      </c>
      <c r="G461" s="10" t="s">
        <v>54</v>
      </c>
      <c r="H461" s="11">
        <v>-2200</v>
      </c>
      <c r="I461" s="11">
        <v>-1700</v>
      </c>
      <c r="J461" s="10" t="s">
        <v>56</v>
      </c>
      <c r="K461" s="10" t="s">
        <v>57</v>
      </c>
      <c r="M461" s="10" t="s">
        <v>73</v>
      </c>
      <c r="O461" s="10" t="s">
        <v>60</v>
      </c>
      <c r="P461" s="10" t="s">
        <v>61</v>
      </c>
      <c r="Q461" s="10">
        <v>0</v>
      </c>
      <c r="R461" s="10">
        <v>0</v>
      </c>
      <c r="S461" s="10">
        <v>0</v>
      </c>
      <c r="T461" s="10">
        <v>94</v>
      </c>
      <c r="U461" s="10">
        <v>0</v>
      </c>
      <c r="V461" s="10">
        <v>94</v>
      </c>
      <c r="W461" s="10">
        <v>1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E461" s="10">
        <v>0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X461" s="55" t="s">
        <v>900</v>
      </c>
      <c r="AY461" s="55" t="s">
        <v>857</v>
      </c>
    </row>
    <row r="462" spans="1:51" x14ac:dyDescent="0.3">
      <c r="A462" t="s">
        <v>901</v>
      </c>
      <c r="B462" t="s">
        <v>902</v>
      </c>
      <c r="C462">
        <v>41.063669689999998</v>
      </c>
      <c r="D462">
        <v>1.1759189999999999</v>
      </c>
      <c r="F462" s="10" t="s">
        <v>644</v>
      </c>
      <c r="G462" s="10" t="s">
        <v>54</v>
      </c>
      <c r="H462" s="11">
        <v>-400</v>
      </c>
      <c r="I462" s="11">
        <v>-200</v>
      </c>
      <c r="J462" s="10" t="s">
        <v>675</v>
      </c>
      <c r="K462" s="10" t="s">
        <v>300</v>
      </c>
      <c r="M462" s="10" t="s">
        <v>73</v>
      </c>
      <c r="O462" s="10" t="s">
        <v>60</v>
      </c>
      <c r="P462" s="10" t="s">
        <v>61</v>
      </c>
      <c r="S462" s="10">
        <f t="shared" ref="S462:S463" si="20">Q462+(R462/2)</f>
        <v>0</v>
      </c>
      <c r="V462" s="10">
        <f t="shared" ref="V462" si="21">T462+(U462/2)</f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E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0">
        <v>0</v>
      </c>
      <c r="AT462" s="10">
        <v>0</v>
      </c>
      <c r="AU462" s="10">
        <v>0</v>
      </c>
      <c r="AX462" s="55" t="s">
        <v>903</v>
      </c>
      <c r="AY462" s="15" t="s">
        <v>904</v>
      </c>
    </row>
    <row r="463" spans="1:51" x14ac:dyDescent="0.3">
      <c r="A463" t="s">
        <v>905</v>
      </c>
      <c r="B463" t="s">
        <v>906</v>
      </c>
      <c r="C463">
        <v>41.726018000000003</v>
      </c>
      <c r="D463">
        <v>0.12006600000000001</v>
      </c>
      <c r="F463" s="10" t="s">
        <v>644</v>
      </c>
      <c r="G463" s="10" t="s">
        <v>54</v>
      </c>
      <c r="H463" s="11">
        <v>-750</v>
      </c>
      <c r="I463" s="11">
        <v>-500</v>
      </c>
      <c r="J463" s="10" t="s">
        <v>299</v>
      </c>
      <c r="K463" s="10" t="s">
        <v>300</v>
      </c>
      <c r="M463" s="10" t="s">
        <v>73</v>
      </c>
      <c r="O463" s="10" t="s">
        <v>60</v>
      </c>
      <c r="P463" s="10" t="s">
        <v>61</v>
      </c>
      <c r="Q463" s="10">
        <v>125</v>
      </c>
      <c r="R463" s="10">
        <v>105</v>
      </c>
      <c r="S463" s="9">
        <f t="shared" si="20"/>
        <v>177.5</v>
      </c>
      <c r="T463" s="10">
        <v>4</v>
      </c>
      <c r="U463" s="10">
        <v>0</v>
      </c>
      <c r="V463" s="10">
        <v>4</v>
      </c>
      <c r="W463" s="10">
        <v>3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E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X463" s="15" t="s">
        <v>907</v>
      </c>
      <c r="AY463" s="15" t="s">
        <v>677</v>
      </c>
    </row>
    <row r="464" spans="1:51" x14ac:dyDescent="0.3">
      <c r="A464" t="s">
        <v>908</v>
      </c>
      <c r="B464" t="s">
        <v>909</v>
      </c>
      <c r="C464">
        <v>40.536696999999997</v>
      </c>
      <c r="D464">
        <v>0.47647499999999998</v>
      </c>
      <c r="F464" s="10" t="s">
        <v>644</v>
      </c>
      <c r="G464" s="10" t="s">
        <v>54</v>
      </c>
      <c r="H464" s="11">
        <v>-750</v>
      </c>
      <c r="I464" s="11">
        <v>-500</v>
      </c>
      <c r="J464" s="10" t="s">
        <v>299</v>
      </c>
      <c r="K464" s="10" t="s">
        <v>300</v>
      </c>
      <c r="M464" s="10" t="s">
        <v>73</v>
      </c>
      <c r="O464" s="10" t="s">
        <v>60</v>
      </c>
      <c r="P464" s="10" t="s">
        <v>61</v>
      </c>
      <c r="S464" s="10">
        <v>2</v>
      </c>
      <c r="V464" s="10">
        <v>1</v>
      </c>
      <c r="W464" s="10">
        <v>3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E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X464" s="15" t="s">
        <v>910</v>
      </c>
      <c r="AY464" s="15" t="s">
        <v>754</v>
      </c>
    </row>
    <row r="465" spans="1:51" x14ac:dyDescent="0.3">
      <c r="A465" t="s">
        <v>911</v>
      </c>
      <c r="B465" t="s">
        <v>899</v>
      </c>
      <c r="C465">
        <v>39.487520449999998</v>
      </c>
      <c r="D465">
        <v>-1.081561</v>
      </c>
      <c r="F465" s="10" t="s">
        <v>644</v>
      </c>
      <c r="G465" s="10" t="s">
        <v>54</v>
      </c>
      <c r="H465" s="11">
        <v>-2200</v>
      </c>
      <c r="I465" s="11">
        <v>-1700</v>
      </c>
      <c r="J465" s="10" t="s">
        <v>56</v>
      </c>
      <c r="K465" s="10" t="s">
        <v>57</v>
      </c>
      <c r="M465" s="10" t="s">
        <v>73</v>
      </c>
      <c r="O465" s="10" t="s">
        <v>60</v>
      </c>
      <c r="P465" s="10" t="s">
        <v>61</v>
      </c>
      <c r="S465" s="10">
        <v>155</v>
      </c>
      <c r="T465" s="10">
        <v>0</v>
      </c>
      <c r="U465" s="10">
        <v>0</v>
      </c>
      <c r="V465" s="10">
        <v>0</v>
      </c>
      <c r="W465" s="10">
        <v>1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E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X465" s="55" t="s">
        <v>900</v>
      </c>
      <c r="AY465" s="55" t="s">
        <v>857</v>
      </c>
    </row>
    <row r="466" spans="1:51" x14ac:dyDescent="0.3">
      <c r="A466" t="s">
        <v>912</v>
      </c>
      <c r="B466" t="s">
        <v>808</v>
      </c>
      <c r="C466">
        <v>36.678787999999997</v>
      </c>
      <c r="D466">
        <v>-4.4771919999999996</v>
      </c>
      <c r="F466" s="10" t="s">
        <v>644</v>
      </c>
      <c r="G466" s="10" t="s">
        <v>54</v>
      </c>
      <c r="H466" s="11">
        <v>-850</v>
      </c>
      <c r="I466" s="11">
        <v>-750</v>
      </c>
      <c r="J466" s="10" t="s">
        <v>299</v>
      </c>
      <c r="K466" s="10" t="s">
        <v>300</v>
      </c>
      <c r="M466" s="10" t="s">
        <v>73</v>
      </c>
      <c r="O466" s="10" t="s">
        <v>60</v>
      </c>
      <c r="P466" s="10" t="s">
        <v>61</v>
      </c>
      <c r="Q466" s="10">
        <v>28</v>
      </c>
      <c r="R466" s="10">
        <v>17</v>
      </c>
      <c r="S466" s="9">
        <f t="shared" ref="S466" si="22">Q466+(R466/2)</f>
        <v>36.5</v>
      </c>
      <c r="T466" s="10">
        <v>1</v>
      </c>
      <c r="U466" s="10">
        <v>0</v>
      </c>
      <c r="V466" s="10">
        <v>1</v>
      </c>
      <c r="W466" s="10">
        <v>21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E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X466" s="55" t="s">
        <v>891</v>
      </c>
      <c r="AY466" s="55" t="s">
        <v>672</v>
      </c>
    </row>
    <row r="467" spans="1:51" x14ac:dyDescent="0.3">
      <c r="A467" t="s">
        <v>913</v>
      </c>
      <c r="B467" t="s">
        <v>914</v>
      </c>
      <c r="C467">
        <v>39.699582999999997</v>
      </c>
      <c r="D467">
        <v>-0.80044499999999996</v>
      </c>
      <c r="F467" s="10" t="s">
        <v>644</v>
      </c>
      <c r="G467" s="10" t="s">
        <v>54</v>
      </c>
      <c r="H467" s="11">
        <v>-500</v>
      </c>
      <c r="I467" s="11">
        <v>-200</v>
      </c>
      <c r="J467" s="10" t="s">
        <v>675</v>
      </c>
      <c r="K467" s="10" t="s">
        <v>300</v>
      </c>
      <c r="M467" s="10" t="s">
        <v>73</v>
      </c>
      <c r="O467" s="10" t="s">
        <v>60</v>
      </c>
      <c r="P467" s="10" t="s">
        <v>61</v>
      </c>
      <c r="Q467" s="10">
        <v>2</v>
      </c>
      <c r="R467" s="10">
        <v>0</v>
      </c>
      <c r="S467" s="10">
        <v>2</v>
      </c>
      <c r="T467" s="10">
        <v>1</v>
      </c>
      <c r="U467" s="10">
        <v>0</v>
      </c>
      <c r="V467" s="10">
        <v>1</v>
      </c>
      <c r="W467" s="10">
        <v>1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E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X467" s="55" t="s">
        <v>891</v>
      </c>
      <c r="AY467" s="55" t="s">
        <v>672</v>
      </c>
    </row>
    <row r="468" spans="1:51" x14ac:dyDescent="0.3">
      <c r="A468" t="s">
        <v>915</v>
      </c>
      <c r="B468" t="s">
        <v>916</v>
      </c>
      <c r="C468">
        <v>40.260890000000003</v>
      </c>
      <c r="D468">
        <v>-1.029976</v>
      </c>
      <c r="F468" s="10" t="s">
        <v>644</v>
      </c>
      <c r="G468" s="10" t="s">
        <v>54</v>
      </c>
      <c r="H468" s="11">
        <v>-1300</v>
      </c>
      <c r="I468" s="11">
        <v>-900</v>
      </c>
      <c r="J468" s="10" t="s">
        <v>132</v>
      </c>
      <c r="K468" s="10" t="s">
        <v>57</v>
      </c>
      <c r="M468" s="10" t="s">
        <v>67</v>
      </c>
      <c r="O468" s="10" t="s">
        <v>60</v>
      </c>
      <c r="P468" s="10" t="s">
        <v>61</v>
      </c>
      <c r="S468" s="10">
        <v>3562</v>
      </c>
      <c r="V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E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X468" s="55" t="s">
        <v>700</v>
      </c>
      <c r="AY468" s="55" t="s">
        <v>795</v>
      </c>
    </row>
    <row r="469" spans="1:51" x14ac:dyDescent="0.3">
      <c r="A469" t="s">
        <v>917</v>
      </c>
      <c r="B469" t="s">
        <v>830</v>
      </c>
      <c r="C469">
        <v>38.972344999999997</v>
      </c>
      <c r="D469">
        <v>-0.171269</v>
      </c>
      <c r="F469" s="10" t="s">
        <v>644</v>
      </c>
      <c r="G469" s="10" t="s">
        <v>54</v>
      </c>
      <c r="H469" s="11">
        <v>-800</v>
      </c>
      <c r="I469" s="11">
        <v>-500</v>
      </c>
      <c r="J469" s="10" t="s">
        <v>299</v>
      </c>
      <c r="K469" s="10" t="s">
        <v>300</v>
      </c>
      <c r="M469" s="10" t="s">
        <v>73</v>
      </c>
      <c r="O469" s="10" t="s">
        <v>60</v>
      </c>
      <c r="P469" s="10" t="s">
        <v>61</v>
      </c>
      <c r="Q469" s="10">
        <v>55</v>
      </c>
      <c r="R469" s="10">
        <v>126</v>
      </c>
      <c r="S469" s="10">
        <f t="shared" ref="S469" si="23">Q469+(R469/2)</f>
        <v>118</v>
      </c>
      <c r="T469" s="10">
        <v>1</v>
      </c>
      <c r="U469" s="10">
        <v>0</v>
      </c>
      <c r="V469" s="10">
        <v>1</v>
      </c>
      <c r="W469" s="10">
        <v>7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E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O469" s="10">
        <v>1</v>
      </c>
      <c r="AP469" s="10">
        <v>1</v>
      </c>
      <c r="AQ469" s="10">
        <v>0</v>
      </c>
      <c r="AR469" s="10">
        <v>1</v>
      </c>
      <c r="AS469" s="10">
        <v>0</v>
      </c>
      <c r="AT469" s="10">
        <v>1</v>
      </c>
      <c r="AU469" s="10">
        <v>0</v>
      </c>
      <c r="AX469" s="55" t="s">
        <v>891</v>
      </c>
      <c r="AY469" s="55" t="s">
        <v>672</v>
      </c>
    </row>
    <row r="470" spans="1:51" ht="24" x14ac:dyDescent="0.3">
      <c r="A470" t="s">
        <v>918</v>
      </c>
      <c r="B470" t="s">
        <v>239</v>
      </c>
      <c r="C470">
        <v>43.565716999999999</v>
      </c>
      <c r="D470">
        <v>3.906676</v>
      </c>
      <c r="F470" s="10" t="s">
        <v>53</v>
      </c>
      <c r="G470" s="10" t="s">
        <v>54</v>
      </c>
      <c r="H470" s="11">
        <v>-500</v>
      </c>
      <c r="I470" s="11">
        <v>-200</v>
      </c>
      <c r="J470" s="10" t="s">
        <v>675</v>
      </c>
      <c r="K470" s="10" t="s">
        <v>300</v>
      </c>
      <c r="M470" s="10" t="s">
        <v>421</v>
      </c>
      <c r="O470" s="10" t="s">
        <v>60</v>
      </c>
      <c r="P470" s="10" t="s">
        <v>61</v>
      </c>
      <c r="S470" s="10">
        <v>159964</v>
      </c>
      <c r="V470" s="10">
        <v>1750</v>
      </c>
      <c r="W470" s="10">
        <v>313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E470" s="10">
        <v>0</v>
      </c>
      <c r="AG470" s="10">
        <v>1</v>
      </c>
      <c r="AH470" s="10">
        <v>781</v>
      </c>
      <c r="AI470" s="10">
        <v>0</v>
      </c>
      <c r="AJ470" s="10">
        <v>781</v>
      </c>
      <c r="AK470" s="10">
        <v>0</v>
      </c>
      <c r="AL470" s="10">
        <v>40</v>
      </c>
      <c r="AM470" s="10">
        <v>0</v>
      </c>
      <c r="AN470" s="10" t="s">
        <v>500</v>
      </c>
      <c r="AO470" s="10">
        <v>0</v>
      </c>
      <c r="AP470" s="10">
        <v>0</v>
      </c>
      <c r="AQ470" s="10">
        <v>0</v>
      </c>
      <c r="AR470" s="10">
        <v>0</v>
      </c>
      <c r="AS470" s="10">
        <v>0</v>
      </c>
      <c r="AT470" s="10">
        <v>0</v>
      </c>
      <c r="AU470" s="10">
        <v>0</v>
      </c>
      <c r="AX470" s="55" t="s">
        <v>919</v>
      </c>
      <c r="AY470" s="55" t="s">
        <v>920</v>
      </c>
    </row>
    <row r="471" spans="1:51" x14ac:dyDescent="0.3">
      <c r="A471" t="s">
        <v>921</v>
      </c>
      <c r="B471" t="s">
        <v>922</v>
      </c>
      <c r="C471">
        <v>39.526746000000003</v>
      </c>
      <c r="D471">
        <v>-0.50967399999999996</v>
      </c>
      <c r="F471" s="10" t="s">
        <v>644</v>
      </c>
      <c r="G471" s="10" t="s">
        <v>54</v>
      </c>
      <c r="H471" s="11">
        <v>-2000</v>
      </c>
      <c r="I471" s="11">
        <v>-1750</v>
      </c>
      <c r="J471" s="10" t="s">
        <v>56</v>
      </c>
      <c r="K471" s="10" t="s">
        <v>57</v>
      </c>
      <c r="M471" s="10" t="s">
        <v>73</v>
      </c>
      <c r="O471" s="10" t="s">
        <v>60</v>
      </c>
      <c r="P471" s="10" t="s">
        <v>61</v>
      </c>
      <c r="S471" s="10">
        <v>456408</v>
      </c>
      <c r="V471" s="10">
        <v>10</v>
      </c>
      <c r="W471" s="10">
        <v>72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E471" s="10">
        <v>0</v>
      </c>
      <c r="AG471" s="10">
        <v>1</v>
      </c>
      <c r="AH471" s="10">
        <v>2</v>
      </c>
      <c r="AI471" s="10">
        <v>0</v>
      </c>
      <c r="AJ471" s="10">
        <v>2</v>
      </c>
      <c r="AK471" s="10">
        <v>0</v>
      </c>
      <c r="AL471" s="10">
        <v>2</v>
      </c>
      <c r="AM471" s="10">
        <v>0</v>
      </c>
      <c r="AN471" s="10" t="s">
        <v>62</v>
      </c>
      <c r="AO471" s="10">
        <v>0</v>
      </c>
      <c r="AP471" s="10">
        <v>0</v>
      </c>
      <c r="AQ471" s="10">
        <v>0</v>
      </c>
      <c r="AR471" s="10">
        <v>0</v>
      </c>
      <c r="AS471" s="10">
        <v>0</v>
      </c>
      <c r="AT471" s="10">
        <v>0</v>
      </c>
      <c r="AU471" s="10">
        <v>0</v>
      </c>
      <c r="AX471" s="55" t="s">
        <v>891</v>
      </c>
      <c r="AY471" s="55" t="s">
        <v>672</v>
      </c>
    </row>
    <row r="472" spans="1:51" x14ac:dyDescent="0.3">
      <c r="A472" t="s">
        <v>923</v>
      </c>
      <c r="B472" t="s">
        <v>849</v>
      </c>
      <c r="C472">
        <v>37.888289399999998</v>
      </c>
      <c r="D472">
        <v>-4.1817019999999996</v>
      </c>
      <c r="F472" s="10" t="s">
        <v>644</v>
      </c>
      <c r="G472" s="10" t="s">
        <v>54</v>
      </c>
      <c r="H472" s="11">
        <v>-2200</v>
      </c>
      <c r="I472" s="11">
        <v>-1700</v>
      </c>
      <c r="J472" s="10" t="s">
        <v>56</v>
      </c>
      <c r="K472" s="10" t="s">
        <v>57</v>
      </c>
      <c r="M472" s="10" t="s">
        <v>73</v>
      </c>
      <c r="O472" s="10" t="s">
        <v>60</v>
      </c>
      <c r="P472" s="10" t="s">
        <v>61</v>
      </c>
      <c r="S472" s="10">
        <v>131</v>
      </c>
      <c r="V472" s="10">
        <v>11</v>
      </c>
      <c r="W472" s="10">
        <v>1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E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O472" s="10">
        <v>0</v>
      </c>
      <c r="AP472" s="10">
        <v>0</v>
      </c>
      <c r="AQ472" s="10">
        <v>0</v>
      </c>
      <c r="AR472" s="10">
        <v>0</v>
      </c>
      <c r="AS472" s="10">
        <v>0</v>
      </c>
      <c r="AT472" s="10">
        <v>0</v>
      </c>
      <c r="AU472" s="10">
        <v>0</v>
      </c>
      <c r="AX472" s="55" t="s">
        <v>850</v>
      </c>
      <c r="AY472" s="55" t="s">
        <v>851</v>
      </c>
    </row>
    <row r="473" spans="1:51" x14ac:dyDescent="0.3">
      <c r="A473" t="s">
        <v>924</v>
      </c>
      <c r="B473" t="s">
        <v>925</v>
      </c>
      <c r="C473">
        <v>37.331102000000001</v>
      </c>
      <c r="D473">
        <v>-3.9751319999999999</v>
      </c>
      <c r="F473" s="10" t="s">
        <v>644</v>
      </c>
      <c r="G473" s="10" t="s">
        <v>54</v>
      </c>
      <c r="H473" s="11">
        <v>-2200</v>
      </c>
      <c r="I473" s="11">
        <v>-1900</v>
      </c>
      <c r="J473" s="10" t="s">
        <v>56</v>
      </c>
      <c r="K473" s="10" t="s">
        <v>57</v>
      </c>
      <c r="M473" s="10" t="s">
        <v>73</v>
      </c>
      <c r="O473" s="10" t="s">
        <v>60</v>
      </c>
      <c r="P473" s="10" t="s">
        <v>61</v>
      </c>
      <c r="Q473" s="10">
        <v>459</v>
      </c>
      <c r="R473" s="10">
        <v>202</v>
      </c>
      <c r="S473" s="10">
        <f t="shared" ref="S473" si="24">Q473+(R473/2)</f>
        <v>560</v>
      </c>
      <c r="T473" s="10">
        <v>46</v>
      </c>
      <c r="U473" s="10">
        <v>681</v>
      </c>
      <c r="V473" s="9">
        <f t="shared" ref="V473" si="25">T473+(U473/2)</f>
        <v>386.5</v>
      </c>
      <c r="W473" s="10">
        <v>4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E473" s="10">
        <v>0</v>
      </c>
      <c r="AG473" s="10">
        <v>1</v>
      </c>
      <c r="AH473" s="10">
        <v>1</v>
      </c>
      <c r="AI473" s="10">
        <v>0</v>
      </c>
      <c r="AJ473" s="10">
        <v>1</v>
      </c>
      <c r="AK473" s="10">
        <v>0</v>
      </c>
      <c r="AL473" s="10">
        <v>1</v>
      </c>
      <c r="AM473" s="10">
        <v>0</v>
      </c>
      <c r="AN473" s="10" t="s">
        <v>62</v>
      </c>
      <c r="AO473" s="10">
        <v>0</v>
      </c>
      <c r="AP473" s="10">
        <v>0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X473" s="55" t="s">
        <v>784</v>
      </c>
      <c r="AY473" s="55" t="s">
        <v>350</v>
      </c>
    </row>
    <row r="474" spans="1:51" x14ac:dyDescent="0.3">
      <c r="A474" t="s">
        <v>926</v>
      </c>
      <c r="B474" t="s">
        <v>927</v>
      </c>
      <c r="C474">
        <v>40.187705999999999</v>
      </c>
      <c r="D474">
        <v>-0.54027400000000003</v>
      </c>
      <c r="F474" s="10" t="s">
        <v>644</v>
      </c>
      <c r="G474" s="10" t="s">
        <v>54</v>
      </c>
      <c r="H474" s="11">
        <v>-450</v>
      </c>
      <c r="I474" s="11">
        <v>-200</v>
      </c>
      <c r="J474" s="10" t="s">
        <v>675</v>
      </c>
      <c r="K474" s="10" t="s">
        <v>300</v>
      </c>
      <c r="M474" s="10" t="s">
        <v>73</v>
      </c>
      <c r="O474" s="10" t="s">
        <v>60</v>
      </c>
      <c r="P474" s="10" t="s">
        <v>61</v>
      </c>
      <c r="S474" s="10">
        <v>20995</v>
      </c>
      <c r="V474" s="10">
        <v>4</v>
      </c>
      <c r="W474" s="10">
        <v>12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E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X474" s="55" t="s">
        <v>928</v>
      </c>
      <c r="AY474" s="55" t="s">
        <v>672</v>
      </c>
    </row>
    <row r="475" spans="1:51" x14ac:dyDescent="0.3">
      <c r="A475" t="s">
        <v>929</v>
      </c>
      <c r="B475" t="s">
        <v>930</v>
      </c>
      <c r="C475">
        <v>37.677536330000002</v>
      </c>
      <c r="D475">
        <v>-1.698604</v>
      </c>
      <c r="F475" s="10" t="s">
        <v>644</v>
      </c>
      <c r="G475" s="10" t="s">
        <v>54</v>
      </c>
      <c r="H475" s="11">
        <v>-2200</v>
      </c>
      <c r="I475" s="11">
        <v>-1700</v>
      </c>
      <c r="J475" s="10" t="s">
        <v>56</v>
      </c>
      <c r="K475" s="10" t="s">
        <v>57</v>
      </c>
      <c r="M475" s="10" t="s">
        <v>73</v>
      </c>
      <c r="O475" s="10" t="s">
        <v>60</v>
      </c>
      <c r="P475" s="10" t="s">
        <v>61</v>
      </c>
      <c r="Q475"/>
      <c r="S475" s="10">
        <v>633</v>
      </c>
      <c r="U475"/>
      <c r="V475" s="10">
        <v>24</v>
      </c>
      <c r="W475" s="10">
        <v>6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E475" s="10">
        <v>0</v>
      </c>
      <c r="AG475" s="10">
        <v>1</v>
      </c>
      <c r="AH475" s="10">
        <v>1</v>
      </c>
      <c r="AI475" s="10">
        <v>0</v>
      </c>
      <c r="AJ475" s="10">
        <v>1</v>
      </c>
      <c r="AK475" s="10">
        <v>0</v>
      </c>
      <c r="AL475" s="10">
        <v>1</v>
      </c>
      <c r="AM475" s="10">
        <v>0</v>
      </c>
      <c r="AN475" s="10" t="s">
        <v>62</v>
      </c>
      <c r="AO475" s="10">
        <v>0</v>
      </c>
      <c r="AP475" s="10">
        <v>0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X475" s="55" t="s">
        <v>931</v>
      </c>
      <c r="AY475" s="55" t="s">
        <v>799</v>
      </c>
    </row>
    <row r="476" spans="1:51" x14ac:dyDescent="0.3">
      <c r="A476" t="s">
        <v>932</v>
      </c>
      <c r="B476" t="s">
        <v>933</v>
      </c>
      <c r="C476">
        <v>41.566892369999998</v>
      </c>
      <c r="D476">
        <v>0.75651900000000005</v>
      </c>
      <c r="F476" s="10" t="s">
        <v>644</v>
      </c>
      <c r="G476" s="10" t="s">
        <v>54</v>
      </c>
      <c r="H476" s="11">
        <v>-400</v>
      </c>
      <c r="I476" s="11">
        <v>-200</v>
      </c>
      <c r="J476" s="10" t="s">
        <v>675</v>
      </c>
      <c r="K476" s="10" t="s">
        <v>300</v>
      </c>
      <c r="M476" s="10" t="s">
        <v>73</v>
      </c>
      <c r="O476" s="10" t="s">
        <v>60</v>
      </c>
      <c r="P476" s="10" t="s">
        <v>61</v>
      </c>
      <c r="S476" s="10">
        <v>5825</v>
      </c>
      <c r="V476" s="10">
        <v>19</v>
      </c>
      <c r="W476" s="10">
        <v>1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E476" s="10">
        <v>0</v>
      </c>
      <c r="AG476" s="10">
        <v>1</v>
      </c>
      <c r="AH476" s="10">
        <v>2</v>
      </c>
      <c r="AI476" s="10">
        <v>0</v>
      </c>
      <c r="AJ476" s="10">
        <v>2</v>
      </c>
      <c r="AK476" s="10">
        <v>0</v>
      </c>
      <c r="AL476" s="10">
        <v>1</v>
      </c>
      <c r="AM476" s="10">
        <v>0</v>
      </c>
      <c r="AN476" s="10" t="s">
        <v>62</v>
      </c>
      <c r="AO476" s="10">
        <v>0</v>
      </c>
      <c r="AP476" s="10">
        <v>0</v>
      </c>
      <c r="AQ476" s="10">
        <v>0</v>
      </c>
      <c r="AR476" s="10">
        <v>0</v>
      </c>
      <c r="AS476" s="10">
        <v>0</v>
      </c>
      <c r="AT476" s="10">
        <v>0</v>
      </c>
      <c r="AU476" s="10">
        <v>0</v>
      </c>
      <c r="AX476" s="55" t="s">
        <v>934</v>
      </c>
      <c r="AY476" s="55" t="s">
        <v>677</v>
      </c>
    </row>
    <row r="477" spans="1:51" x14ac:dyDescent="0.3">
      <c r="A477" t="s">
        <v>935</v>
      </c>
      <c r="B477" t="s">
        <v>936</v>
      </c>
      <c r="C477">
        <v>42.185960000000001</v>
      </c>
      <c r="D477">
        <v>2.9224199999999998</v>
      </c>
      <c r="F477" s="10" t="s">
        <v>644</v>
      </c>
      <c r="G477" s="10" t="s">
        <v>54</v>
      </c>
      <c r="H477" s="11">
        <v>-600</v>
      </c>
      <c r="I477" s="11">
        <v>-450</v>
      </c>
      <c r="J477" s="10" t="s">
        <v>299</v>
      </c>
      <c r="K477" s="10" t="s">
        <v>300</v>
      </c>
      <c r="M477" s="10" t="s">
        <v>73</v>
      </c>
      <c r="O477" s="10" t="s">
        <v>60</v>
      </c>
      <c r="P477" s="10" t="s">
        <v>61</v>
      </c>
      <c r="Q477" s="10">
        <v>110</v>
      </c>
      <c r="R477" s="10">
        <v>51</v>
      </c>
      <c r="S477" s="9">
        <f t="shared" ref="S477:S478" si="26">Q477+(R477/2)</f>
        <v>135.5</v>
      </c>
      <c r="T477" s="10">
        <v>0</v>
      </c>
      <c r="U477" s="10">
        <v>0</v>
      </c>
      <c r="V477" s="10">
        <v>0</v>
      </c>
      <c r="W477" s="10">
        <v>3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E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X477" s="56" t="s">
        <v>937</v>
      </c>
      <c r="AY477" s="56" t="s">
        <v>938</v>
      </c>
    </row>
    <row r="478" spans="1:51" x14ac:dyDescent="0.3">
      <c r="A478" t="s">
        <v>935</v>
      </c>
      <c r="B478" t="s">
        <v>936</v>
      </c>
      <c r="C478">
        <v>42.185960000000001</v>
      </c>
      <c r="D478">
        <v>2.9224199999999998</v>
      </c>
      <c r="F478" s="10" t="s">
        <v>644</v>
      </c>
      <c r="G478" s="10" t="s">
        <v>54</v>
      </c>
      <c r="H478" s="11">
        <v>-400</v>
      </c>
      <c r="I478" s="11">
        <v>-200</v>
      </c>
      <c r="J478" s="10" t="s">
        <v>675</v>
      </c>
      <c r="K478" s="10" t="s">
        <v>300</v>
      </c>
      <c r="M478" s="10" t="s">
        <v>73</v>
      </c>
      <c r="O478" s="10" t="s">
        <v>60</v>
      </c>
      <c r="P478" s="10" t="s">
        <v>61</v>
      </c>
      <c r="Q478" s="10">
        <v>70641</v>
      </c>
      <c r="R478" s="10">
        <v>14056</v>
      </c>
      <c r="S478" s="10">
        <f t="shared" si="26"/>
        <v>77669</v>
      </c>
      <c r="T478" s="10">
        <v>769</v>
      </c>
      <c r="U478" s="10">
        <v>25</v>
      </c>
      <c r="V478" s="9">
        <f t="shared" ref="V478" si="27">T478+(U478/2)</f>
        <v>781.5</v>
      </c>
      <c r="W478" s="10">
        <v>145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E478" s="10">
        <v>0</v>
      </c>
      <c r="AG478" s="10">
        <v>1</v>
      </c>
      <c r="AH478" s="10">
        <v>312</v>
      </c>
      <c r="AI478" s="10">
        <v>0</v>
      </c>
      <c r="AJ478" s="10">
        <v>312</v>
      </c>
      <c r="AK478" s="10">
        <v>0</v>
      </c>
      <c r="AL478" s="10">
        <v>24</v>
      </c>
      <c r="AM478" s="10">
        <v>0</v>
      </c>
      <c r="AN478" s="10" t="s">
        <v>62</v>
      </c>
      <c r="AO478" s="10">
        <v>0</v>
      </c>
      <c r="AP478" s="10">
        <v>0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X478" s="56" t="s">
        <v>937</v>
      </c>
      <c r="AY478" s="56" t="s">
        <v>938</v>
      </c>
    </row>
    <row r="479" spans="1:51" x14ac:dyDescent="0.3">
      <c r="A479" t="s">
        <v>349</v>
      </c>
      <c r="B479" t="s">
        <v>239</v>
      </c>
      <c r="C479">
        <v>43.573729999999998</v>
      </c>
      <c r="D479">
        <v>3.9225500000000002</v>
      </c>
      <c r="F479" s="10" t="s">
        <v>53</v>
      </c>
      <c r="G479" s="10" t="s">
        <v>54</v>
      </c>
      <c r="H479" s="11">
        <v>-650</v>
      </c>
      <c r="I479" s="11">
        <v>-500</v>
      </c>
      <c r="J479" s="10" t="s">
        <v>299</v>
      </c>
      <c r="K479" s="10" t="s">
        <v>300</v>
      </c>
      <c r="M479" s="10" t="s">
        <v>59</v>
      </c>
      <c r="O479" s="10" t="s">
        <v>60</v>
      </c>
      <c r="P479" s="10" t="s">
        <v>61</v>
      </c>
      <c r="S479" s="10">
        <v>15</v>
      </c>
      <c r="V479" s="10">
        <v>3</v>
      </c>
      <c r="W479" s="10">
        <v>1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E479" s="10">
        <v>0</v>
      </c>
      <c r="AG479" s="10">
        <v>1</v>
      </c>
      <c r="AH479" s="10">
        <v>2</v>
      </c>
      <c r="AI479" s="10">
        <v>0</v>
      </c>
      <c r="AJ479" s="10">
        <v>2</v>
      </c>
      <c r="AK479" s="10">
        <v>0</v>
      </c>
      <c r="AL479" s="10">
        <v>1</v>
      </c>
      <c r="AM479" s="10">
        <v>0</v>
      </c>
      <c r="AN479" s="10" t="s">
        <v>500</v>
      </c>
      <c r="AO479" s="10">
        <v>0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X479" s="55" t="s">
        <v>442</v>
      </c>
      <c r="AY479" s="55" t="s">
        <v>350</v>
      </c>
    </row>
    <row r="480" spans="1:51" x14ac:dyDescent="0.3">
      <c r="A480" t="s">
        <v>939</v>
      </c>
      <c r="B480" t="s">
        <v>770</v>
      </c>
      <c r="C480">
        <v>42.092349820000003</v>
      </c>
      <c r="D480">
        <v>2.8900570000000001</v>
      </c>
      <c r="F480" s="10" t="s">
        <v>53</v>
      </c>
      <c r="G480" s="10" t="s">
        <v>54</v>
      </c>
      <c r="H480" s="11">
        <v>-500</v>
      </c>
      <c r="I480" s="11">
        <v>-200</v>
      </c>
      <c r="J480" s="10" t="s">
        <v>675</v>
      </c>
      <c r="K480" s="10" t="s">
        <v>300</v>
      </c>
      <c r="M480" s="10" t="s">
        <v>73</v>
      </c>
      <c r="O480" s="10" t="s">
        <v>60</v>
      </c>
      <c r="P480" s="10" t="s">
        <v>61</v>
      </c>
      <c r="S480" s="10">
        <v>4</v>
      </c>
      <c r="V480" s="10">
        <v>1</v>
      </c>
      <c r="W480" s="10">
        <v>5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E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0">
        <v>0</v>
      </c>
      <c r="AT480" s="10">
        <v>0</v>
      </c>
      <c r="AU480" s="10">
        <v>0</v>
      </c>
      <c r="AX480" s="53" t="s">
        <v>734</v>
      </c>
      <c r="AY480" s="53" t="s">
        <v>694</v>
      </c>
    </row>
    <row r="481" spans="1:51" x14ac:dyDescent="0.3">
      <c r="A481" t="s">
        <v>940</v>
      </c>
      <c r="B481" t="s">
        <v>941</v>
      </c>
      <c r="C481">
        <v>41.35942996</v>
      </c>
      <c r="D481">
        <v>1.671292</v>
      </c>
      <c r="F481" s="10" t="s">
        <v>644</v>
      </c>
      <c r="G481" s="10" t="s">
        <v>54</v>
      </c>
      <c r="H481" s="11">
        <v>-2000</v>
      </c>
      <c r="I481" s="11">
        <v>-1500</v>
      </c>
      <c r="J481" s="10" t="s">
        <v>56</v>
      </c>
      <c r="K481" s="10" t="s">
        <v>57</v>
      </c>
      <c r="M481" s="10" t="s">
        <v>77</v>
      </c>
      <c r="O481" s="10" t="s">
        <v>60</v>
      </c>
      <c r="P481" s="10" t="s">
        <v>61</v>
      </c>
      <c r="Q481" s="10">
        <v>76</v>
      </c>
      <c r="R481" s="10">
        <v>127</v>
      </c>
      <c r="S481" s="9">
        <f t="shared" ref="S481:S483" si="28">Q481+(R481/2)</f>
        <v>139.5</v>
      </c>
      <c r="T481" s="10">
        <v>0</v>
      </c>
      <c r="U481" s="10">
        <v>0</v>
      </c>
      <c r="V481" s="10">
        <v>0</v>
      </c>
      <c r="W481" s="10">
        <v>20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E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0">
        <v>0</v>
      </c>
      <c r="AT481" s="10">
        <v>0</v>
      </c>
      <c r="AU481" s="10">
        <v>0</v>
      </c>
      <c r="AX481" s="53" t="s">
        <v>734</v>
      </c>
      <c r="AY481" s="53" t="s">
        <v>694</v>
      </c>
    </row>
    <row r="482" spans="1:51" x14ac:dyDescent="0.3">
      <c r="A482" t="s">
        <v>940</v>
      </c>
      <c r="B482" t="s">
        <v>941</v>
      </c>
      <c r="C482">
        <v>41.35942996</v>
      </c>
      <c r="D482">
        <v>1.671292</v>
      </c>
      <c r="F482" s="10" t="s">
        <v>644</v>
      </c>
      <c r="G482" s="10" t="s">
        <v>54</v>
      </c>
      <c r="H482" s="11">
        <v>-750</v>
      </c>
      <c r="I482" s="11">
        <v>-500</v>
      </c>
      <c r="J482" s="10" t="s">
        <v>675</v>
      </c>
      <c r="K482" s="10" t="s">
        <v>300</v>
      </c>
      <c r="M482" s="10" t="s">
        <v>241</v>
      </c>
      <c r="O482" s="10" t="s">
        <v>60</v>
      </c>
      <c r="P482" s="10" t="s">
        <v>61</v>
      </c>
      <c r="Q482" s="10">
        <v>143</v>
      </c>
      <c r="R482" s="10">
        <v>72</v>
      </c>
      <c r="S482" s="9">
        <f t="shared" si="28"/>
        <v>179</v>
      </c>
      <c r="T482" s="10">
        <v>2</v>
      </c>
      <c r="U482" s="10">
        <v>0</v>
      </c>
      <c r="V482" s="10">
        <v>2</v>
      </c>
      <c r="W482" s="10">
        <v>13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E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0">
        <v>0</v>
      </c>
      <c r="AT482" s="10">
        <v>0</v>
      </c>
      <c r="AU482" s="10">
        <v>0</v>
      </c>
      <c r="AX482" s="53" t="s">
        <v>734</v>
      </c>
      <c r="AY482" s="53" t="s">
        <v>694</v>
      </c>
    </row>
    <row r="483" spans="1:51" x14ac:dyDescent="0.3">
      <c r="A483" t="s">
        <v>942</v>
      </c>
      <c r="B483" t="s">
        <v>943</v>
      </c>
      <c r="C483">
        <v>41.221603999999999</v>
      </c>
      <c r="D483">
        <v>1.5488960000000001</v>
      </c>
      <c r="F483" s="10" t="s">
        <v>644</v>
      </c>
      <c r="G483" s="10" t="s">
        <v>54</v>
      </c>
      <c r="H483" s="11">
        <v>-400</v>
      </c>
      <c r="I483" s="11">
        <v>-200</v>
      </c>
      <c r="J483" s="10" t="s">
        <v>675</v>
      </c>
      <c r="K483" s="10" t="s">
        <v>300</v>
      </c>
      <c r="M483" s="10" t="s">
        <v>59</v>
      </c>
      <c r="O483" s="10" t="s">
        <v>60</v>
      </c>
      <c r="P483" s="10" t="s">
        <v>61</v>
      </c>
      <c r="Q483" s="10">
        <v>2</v>
      </c>
      <c r="R483" s="10">
        <v>1</v>
      </c>
      <c r="S483" s="9">
        <f t="shared" si="28"/>
        <v>2.5</v>
      </c>
      <c r="T483" s="10">
        <v>0</v>
      </c>
      <c r="U483" s="10">
        <v>0</v>
      </c>
      <c r="V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E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X483" s="53" t="s">
        <v>734</v>
      </c>
      <c r="AY483" s="53" t="s">
        <v>694</v>
      </c>
    </row>
    <row r="484" spans="1:51" x14ac:dyDescent="0.3">
      <c r="A484" t="s">
        <v>944</v>
      </c>
      <c r="B484" t="s">
        <v>945</v>
      </c>
      <c r="C484">
        <v>41.52033703</v>
      </c>
      <c r="D484">
        <v>0.31769700000000001</v>
      </c>
      <c r="F484" s="10" t="s">
        <v>644</v>
      </c>
      <c r="G484" s="10" t="s">
        <v>54</v>
      </c>
      <c r="H484" s="11">
        <v>-1250</v>
      </c>
      <c r="I484" s="11">
        <v>-900</v>
      </c>
      <c r="J484" s="10" t="s">
        <v>132</v>
      </c>
      <c r="K484" s="10" t="s">
        <v>57</v>
      </c>
      <c r="M484" s="10" t="s">
        <v>77</v>
      </c>
      <c r="O484" s="10" t="s">
        <v>60</v>
      </c>
      <c r="P484" s="10" t="s">
        <v>61</v>
      </c>
      <c r="Q484"/>
      <c r="S484" s="10">
        <v>862</v>
      </c>
      <c r="V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E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X484" s="55" t="s">
        <v>882</v>
      </c>
      <c r="AY484" s="55" t="s">
        <v>677</v>
      </c>
    </row>
    <row r="485" spans="1:51" x14ac:dyDescent="0.3">
      <c r="A485" t="s">
        <v>946</v>
      </c>
      <c r="B485" t="s">
        <v>947</v>
      </c>
      <c r="C485">
        <v>41.544263219999998</v>
      </c>
      <c r="D485">
        <v>0.75884799999999997</v>
      </c>
      <c r="F485" s="10" t="s">
        <v>644</v>
      </c>
      <c r="G485" s="10" t="s">
        <v>54</v>
      </c>
      <c r="H485" s="11">
        <v>-2200</v>
      </c>
      <c r="I485" s="11">
        <v>-1500</v>
      </c>
      <c r="J485" s="10" t="s">
        <v>56</v>
      </c>
      <c r="K485" s="10" t="s">
        <v>57</v>
      </c>
      <c r="M485" s="10" t="s">
        <v>77</v>
      </c>
      <c r="O485" s="10" t="s">
        <v>60</v>
      </c>
      <c r="P485" s="10" t="s">
        <v>61</v>
      </c>
      <c r="S485" s="10">
        <v>953</v>
      </c>
      <c r="T485" s="10">
        <v>0</v>
      </c>
      <c r="U485" s="10">
        <v>0</v>
      </c>
      <c r="V485" s="10">
        <v>0</v>
      </c>
      <c r="W485" s="10">
        <v>58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E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X485" s="55" t="s">
        <v>882</v>
      </c>
      <c r="AY485" s="55" t="s">
        <v>677</v>
      </c>
    </row>
    <row r="486" spans="1:51" x14ac:dyDescent="0.3">
      <c r="A486" t="s">
        <v>948</v>
      </c>
      <c r="B486" t="s">
        <v>949</v>
      </c>
      <c r="C486">
        <v>41.709565580000003</v>
      </c>
      <c r="D486">
        <v>1.073078</v>
      </c>
      <c r="F486" s="10" t="s">
        <v>644</v>
      </c>
      <c r="G486" s="10" t="s">
        <v>54</v>
      </c>
      <c r="H486" s="11">
        <v>-450</v>
      </c>
      <c r="I486" s="11">
        <v>-200</v>
      </c>
      <c r="J486" s="10" t="s">
        <v>675</v>
      </c>
      <c r="K486" s="10" t="s">
        <v>300</v>
      </c>
      <c r="M486" s="10" t="s">
        <v>421</v>
      </c>
      <c r="O486" s="10" t="s">
        <v>60</v>
      </c>
      <c r="P486" s="10" t="s">
        <v>61</v>
      </c>
      <c r="S486" s="10">
        <v>237</v>
      </c>
      <c r="T486" s="10">
        <v>0</v>
      </c>
      <c r="U486" s="10">
        <v>0</v>
      </c>
      <c r="V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E486" s="10">
        <v>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0">
        <v>0</v>
      </c>
      <c r="AT486" s="10">
        <v>0</v>
      </c>
      <c r="AU486" s="10">
        <v>0</v>
      </c>
      <c r="AX486" s="55" t="s">
        <v>882</v>
      </c>
      <c r="AY486" s="55" t="s">
        <v>677</v>
      </c>
    </row>
    <row r="487" spans="1:51" x14ac:dyDescent="0.3">
      <c r="A487" t="s">
        <v>307</v>
      </c>
      <c r="B487" t="s">
        <v>308</v>
      </c>
      <c r="C487">
        <v>43.360711999999999</v>
      </c>
      <c r="D487">
        <v>3.4184070000000002</v>
      </c>
      <c r="F487" s="10" t="s">
        <v>53</v>
      </c>
      <c r="G487" s="10" t="s">
        <v>54</v>
      </c>
      <c r="H487" s="11">
        <v>-575</v>
      </c>
      <c r="I487" s="11">
        <v>-500</v>
      </c>
      <c r="J487" s="10" t="s">
        <v>299</v>
      </c>
      <c r="K487" s="10" t="s">
        <v>300</v>
      </c>
      <c r="M487" s="10" t="s">
        <v>73</v>
      </c>
      <c r="O487" s="10" t="s">
        <v>60</v>
      </c>
      <c r="P487" s="10" t="s">
        <v>61</v>
      </c>
      <c r="Q487" s="10">
        <v>3131</v>
      </c>
      <c r="R487" s="10">
        <v>6372</v>
      </c>
      <c r="S487" s="10">
        <f t="shared" ref="S487:S490" si="29">Q487+(R487/2)</f>
        <v>6317</v>
      </c>
      <c r="T487" s="10">
        <v>163</v>
      </c>
      <c r="U487" s="10">
        <v>882</v>
      </c>
      <c r="V487" s="10">
        <f t="shared" ref="V487:V490" si="30">T487+(U487/2)</f>
        <v>604</v>
      </c>
      <c r="W487" s="10">
        <v>22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E487" s="10">
        <v>0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O487" s="10">
        <v>0</v>
      </c>
      <c r="AP487" s="10">
        <v>0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X487" s="56" t="s">
        <v>950</v>
      </c>
      <c r="AY487" s="56" t="s">
        <v>256</v>
      </c>
    </row>
    <row r="488" spans="1:51" x14ac:dyDescent="0.3">
      <c r="A488" t="s">
        <v>307</v>
      </c>
      <c r="B488" t="s">
        <v>308</v>
      </c>
      <c r="C488">
        <v>43.360711999999999</v>
      </c>
      <c r="D488">
        <v>3.4184070000000002</v>
      </c>
      <c r="F488" s="10" t="s">
        <v>53</v>
      </c>
      <c r="G488" s="10" t="s">
        <v>54</v>
      </c>
      <c r="H488" s="11">
        <v>-450</v>
      </c>
      <c r="I488" s="11">
        <v>-400</v>
      </c>
      <c r="J488" s="10" t="s">
        <v>675</v>
      </c>
      <c r="K488" s="10" t="s">
        <v>300</v>
      </c>
      <c r="M488" s="10" t="s">
        <v>73</v>
      </c>
      <c r="O488" s="10" t="s">
        <v>60</v>
      </c>
      <c r="P488" s="10" t="s">
        <v>61</v>
      </c>
      <c r="Q488" s="10">
        <v>40161</v>
      </c>
      <c r="S488" s="10">
        <f t="shared" si="29"/>
        <v>40161</v>
      </c>
      <c r="T488" s="10">
        <v>8470</v>
      </c>
      <c r="V488" s="10">
        <f t="shared" si="30"/>
        <v>8470</v>
      </c>
      <c r="W488" s="10">
        <v>75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E488" s="10">
        <v>0</v>
      </c>
      <c r="AG488" s="10">
        <v>1</v>
      </c>
      <c r="AH488" s="10">
        <v>4</v>
      </c>
      <c r="AI488" s="10">
        <v>0</v>
      </c>
      <c r="AJ488" s="10">
        <v>4</v>
      </c>
      <c r="AK488" s="10">
        <v>0</v>
      </c>
      <c r="AL488" s="10">
        <v>3</v>
      </c>
      <c r="AM488" s="10">
        <v>0</v>
      </c>
      <c r="AN488" s="10" t="s">
        <v>62</v>
      </c>
      <c r="AO488" s="10">
        <v>0</v>
      </c>
      <c r="AP488" s="10">
        <v>0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X488" s="56" t="s">
        <v>950</v>
      </c>
      <c r="AY488" s="56" t="s">
        <v>256</v>
      </c>
    </row>
    <row r="489" spans="1:51" x14ac:dyDescent="0.3">
      <c r="A489" t="s">
        <v>951</v>
      </c>
      <c r="B489" t="s">
        <v>952</v>
      </c>
      <c r="C489">
        <v>43.284092999999999</v>
      </c>
      <c r="D489">
        <v>2.728688</v>
      </c>
      <c r="F489" s="10" t="s">
        <v>53</v>
      </c>
      <c r="G489" s="10" t="s">
        <v>54</v>
      </c>
      <c r="H489" s="11">
        <v>-500</v>
      </c>
      <c r="I489" s="11">
        <v>-200</v>
      </c>
      <c r="J489" s="10" t="s">
        <v>675</v>
      </c>
      <c r="K489" s="10" t="s">
        <v>300</v>
      </c>
      <c r="M489" s="10" t="s">
        <v>73</v>
      </c>
      <c r="O489" s="10" t="s">
        <v>60</v>
      </c>
      <c r="P489" s="10" t="s">
        <v>61</v>
      </c>
      <c r="Q489" s="10">
        <v>31280</v>
      </c>
      <c r="S489" s="10">
        <f t="shared" si="29"/>
        <v>31280</v>
      </c>
      <c r="T489" s="10">
        <v>240</v>
      </c>
      <c r="V489" s="10">
        <f t="shared" si="30"/>
        <v>240</v>
      </c>
      <c r="W489" s="10">
        <v>10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E489" s="10">
        <v>0</v>
      </c>
      <c r="AG489" s="10">
        <v>1</v>
      </c>
      <c r="AH489" s="10">
        <v>25</v>
      </c>
      <c r="AI489" s="10">
        <v>27</v>
      </c>
      <c r="AJ489" s="9">
        <f>AH489+(AI489/2)</f>
        <v>38.5</v>
      </c>
      <c r="AK489" s="10">
        <v>0</v>
      </c>
      <c r="AL489" s="10">
        <v>3</v>
      </c>
      <c r="AM489" s="10">
        <v>0</v>
      </c>
      <c r="AN489" s="10" t="s">
        <v>62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X489" s="56" t="s">
        <v>950</v>
      </c>
      <c r="AY489" s="56" t="s">
        <v>256</v>
      </c>
    </row>
    <row r="490" spans="1:51" ht="24" x14ac:dyDescent="0.3">
      <c r="A490" t="s">
        <v>394</v>
      </c>
      <c r="B490" t="s">
        <v>395</v>
      </c>
      <c r="C490">
        <v>43.027918</v>
      </c>
      <c r="D490">
        <v>2.97722</v>
      </c>
      <c r="F490" s="10" t="s">
        <v>53</v>
      </c>
      <c r="G490" s="10" t="s">
        <v>54</v>
      </c>
      <c r="H490" s="11">
        <v>-400</v>
      </c>
      <c r="I490" s="11">
        <v>-200</v>
      </c>
      <c r="J490" s="10" t="s">
        <v>675</v>
      </c>
      <c r="K490" s="10" t="s">
        <v>300</v>
      </c>
      <c r="M490" s="10" t="s">
        <v>73</v>
      </c>
      <c r="O490" s="10" t="s">
        <v>60</v>
      </c>
      <c r="P490" s="10" t="s">
        <v>61</v>
      </c>
      <c r="Q490" s="10">
        <v>20686</v>
      </c>
      <c r="R490" s="10">
        <v>21422</v>
      </c>
      <c r="S490" s="10">
        <f t="shared" si="29"/>
        <v>31397</v>
      </c>
      <c r="T490" s="10">
        <v>33</v>
      </c>
      <c r="V490" s="10">
        <f t="shared" si="30"/>
        <v>33</v>
      </c>
      <c r="W490" s="10">
        <v>49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E490" s="10">
        <v>0</v>
      </c>
      <c r="AG490" s="10">
        <v>1</v>
      </c>
      <c r="AH490" s="10">
        <v>3</v>
      </c>
      <c r="AI490" s="10">
        <v>0</v>
      </c>
      <c r="AJ490" s="10">
        <v>3</v>
      </c>
      <c r="AK490" s="10">
        <v>0</v>
      </c>
      <c r="AL490" s="10">
        <v>2</v>
      </c>
      <c r="AM490" s="10">
        <v>0</v>
      </c>
      <c r="AN490" s="10" t="s">
        <v>62</v>
      </c>
      <c r="AO490" s="10">
        <v>0</v>
      </c>
      <c r="AP490" s="10">
        <v>0</v>
      </c>
      <c r="AQ490" s="10">
        <v>0</v>
      </c>
      <c r="AR490" s="10">
        <v>0</v>
      </c>
      <c r="AS490" s="10">
        <v>0</v>
      </c>
      <c r="AT490" s="10">
        <v>0</v>
      </c>
      <c r="AU490" s="10">
        <v>0</v>
      </c>
      <c r="AX490" s="56" t="s">
        <v>953</v>
      </c>
      <c r="AY490" s="56" t="s">
        <v>954</v>
      </c>
    </row>
    <row r="491" spans="1:51" ht="24" x14ac:dyDescent="0.3">
      <c r="A491" t="s">
        <v>955</v>
      </c>
      <c r="B491" t="s">
        <v>956</v>
      </c>
      <c r="C491">
        <v>38.170822450000003</v>
      </c>
      <c r="D491">
        <v>-3.7960060000000002</v>
      </c>
      <c r="F491" s="10" t="s">
        <v>644</v>
      </c>
      <c r="G491" s="10" t="s">
        <v>54</v>
      </c>
      <c r="H491" s="11">
        <v>-1500</v>
      </c>
      <c r="I491" s="11">
        <v>-1300</v>
      </c>
      <c r="J491" s="10" t="s">
        <v>132</v>
      </c>
      <c r="K491" s="10" t="s">
        <v>300</v>
      </c>
      <c r="M491" s="10" t="s">
        <v>73</v>
      </c>
      <c r="O491" s="10" t="s">
        <v>60</v>
      </c>
      <c r="P491" s="10" t="s">
        <v>61</v>
      </c>
      <c r="Q491"/>
      <c r="S491" s="10">
        <v>9779</v>
      </c>
      <c r="V491" s="10">
        <v>254</v>
      </c>
      <c r="W491" s="10">
        <v>80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E491" s="10">
        <v>0</v>
      </c>
      <c r="AG491" s="10">
        <v>1</v>
      </c>
      <c r="AH491" s="10">
        <v>209</v>
      </c>
      <c r="AI491" s="10">
        <v>0</v>
      </c>
      <c r="AJ491" s="10">
        <v>209</v>
      </c>
      <c r="AK491" s="10">
        <v>0</v>
      </c>
      <c r="AL491" s="10">
        <v>6</v>
      </c>
      <c r="AM491" s="10">
        <v>1</v>
      </c>
      <c r="AN491" s="10" t="s">
        <v>62</v>
      </c>
      <c r="AO491" s="10">
        <v>0</v>
      </c>
      <c r="AP491" s="10">
        <v>0</v>
      </c>
      <c r="AQ491" s="10">
        <v>0</v>
      </c>
      <c r="AR491" s="10">
        <v>0</v>
      </c>
      <c r="AS491" s="10">
        <v>0</v>
      </c>
      <c r="AT491" s="10">
        <v>0</v>
      </c>
      <c r="AU491" s="10">
        <v>0</v>
      </c>
      <c r="AX491" s="55" t="s">
        <v>957</v>
      </c>
      <c r="AY491" s="55" t="s">
        <v>958</v>
      </c>
    </row>
    <row r="492" spans="1:51" x14ac:dyDescent="0.3">
      <c r="A492" t="s">
        <v>959</v>
      </c>
      <c r="B492" t="s">
        <v>960</v>
      </c>
      <c r="C492">
        <v>41.714013999999999</v>
      </c>
      <c r="D492">
        <v>0.58946600000000005</v>
      </c>
      <c r="F492" s="10" t="s">
        <v>644</v>
      </c>
      <c r="G492" s="10" t="s">
        <v>54</v>
      </c>
      <c r="H492" s="11">
        <v>-2000</v>
      </c>
      <c r="I492" s="11">
        <v>-1500</v>
      </c>
      <c r="J492" s="10" t="s">
        <v>56</v>
      </c>
      <c r="K492" s="10" t="s">
        <v>57</v>
      </c>
      <c r="M492" s="10" t="s">
        <v>59</v>
      </c>
      <c r="O492" s="10" t="s">
        <v>60</v>
      </c>
      <c r="P492" s="10" t="s">
        <v>61</v>
      </c>
      <c r="Q492" s="10">
        <v>25</v>
      </c>
      <c r="R492" s="10">
        <v>17</v>
      </c>
      <c r="S492" s="9">
        <f t="shared" ref="S492:S493" si="31">Q492+(R492/2)</f>
        <v>33.5</v>
      </c>
      <c r="T492" s="10">
        <v>0</v>
      </c>
      <c r="U492" s="10">
        <v>0</v>
      </c>
      <c r="V492" s="10">
        <v>0</v>
      </c>
      <c r="W492" s="10">
        <v>6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E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0">
        <v>0</v>
      </c>
      <c r="AT492" s="10">
        <v>0</v>
      </c>
      <c r="AU492" s="10">
        <v>0</v>
      </c>
      <c r="AX492" s="53" t="s">
        <v>734</v>
      </c>
      <c r="AY492" s="53" t="s">
        <v>694</v>
      </c>
    </row>
    <row r="493" spans="1:51" ht="24" x14ac:dyDescent="0.3">
      <c r="A493" t="s">
        <v>961</v>
      </c>
      <c r="B493" t="s">
        <v>962</v>
      </c>
      <c r="C493">
        <v>37.801920000000003</v>
      </c>
      <c r="D493">
        <v>-3.7482000000000002</v>
      </c>
      <c r="F493" s="10" t="s">
        <v>644</v>
      </c>
      <c r="G493" s="10" t="s">
        <v>54</v>
      </c>
      <c r="H493" s="11">
        <v>-400</v>
      </c>
      <c r="I493" s="11">
        <v>-200</v>
      </c>
      <c r="J493" s="10" t="s">
        <v>675</v>
      </c>
      <c r="K493" s="10" t="s">
        <v>300</v>
      </c>
      <c r="M493" s="10" t="s">
        <v>421</v>
      </c>
      <c r="O493" s="10" t="s">
        <v>60</v>
      </c>
      <c r="P493" s="10" t="s">
        <v>61</v>
      </c>
      <c r="Q493" s="10">
        <v>143</v>
      </c>
      <c r="R493" s="10">
        <v>580</v>
      </c>
      <c r="S493" s="9">
        <f t="shared" si="31"/>
        <v>433</v>
      </c>
      <c r="T493" s="10">
        <v>11</v>
      </c>
      <c r="U493" s="10">
        <v>2</v>
      </c>
      <c r="V493" s="10">
        <f t="shared" ref="V493" si="32">T493+(U493/2)</f>
        <v>12</v>
      </c>
      <c r="W493" s="10">
        <v>18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E493" s="10">
        <v>0</v>
      </c>
      <c r="AG493" s="10">
        <v>1</v>
      </c>
      <c r="AH493" s="10">
        <v>5</v>
      </c>
      <c r="AI493" s="10">
        <v>0</v>
      </c>
      <c r="AJ493" s="10">
        <v>5</v>
      </c>
      <c r="AK493" s="10">
        <v>0</v>
      </c>
      <c r="AL493" s="10">
        <v>5</v>
      </c>
      <c r="AM493" s="10">
        <v>0</v>
      </c>
      <c r="AN493" s="10" t="s">
        <v>62</v>
      </c>
      <c r="AO493" s="10">
        <v>1</v>
      </c>
      <c r="AP493" s="10">
        <v>1</v>
      </c>
      <c r="AQ493" s="10">
        <v>0</v>
      </c>
      <c r="AR493" s="10">
        <v>1</v>
      </c>
      <c r="AS493" s="10">
        <v>0</v>
      </c>
      <c r="AT493" s="10">
        <v>1</v>
      </c>
      <c r="AU493" s="10">
        <v>0</v>
      </c>
      <c r="AV493" s="10" t="s">
        <v>62</v>
      </c>
      <c r="AX493" s="55" t="s">
        <v>963</v>
      </c>
      <c r="AY493" s="55" t="s">
        <v>964</v>
      </c>
    </row>
    <row r="494" spans="1:51" x14ac:dyDescent="0.3">
      <c r="A494" t="s">
        <v>965</v>
      </c>
      <c r="B494" t="s">
        <v>966</v>
      </c>
      <c r="C494">
        <v>40.504626500000001</v>
      </c>
      <c r="D494">
        <v>0.43136099999999999</v>
      </c>
      <c r="F494" s="10" t="s">
        <v>644</v>
      </c>
      <c r="G494" s="10" t="s">
        <v>54</v>
      </c>
      <c r="H494" s="11">
        <v>-700</v>
      </c>
      <c r="I494" s="11">
        <v>-500</v>
      </c>
      <c r="J494" s="10" t="s">
        <v>299</v>
      </c>
      <c r="K494" s="10" t="s">
        <v>300</v>
      </c>
      <c r="M494" s="10" t="s">
        <v>73</v>
      </c>
      <c r="O494" s="10" t="s">
        <v>60</v>
      </c>
      <c r="P494" s="10" t="s">
        <v>61</v>
      </c>
      <c r="Q494" s="10">
        <v>2</v>
      </c>
      <c r="R494" s="10">
        <v>0</v>
      </c>
      <c r="S494" s="10">
        <v>2</v>
      </c>
      <c r="T494" s="10">
        <v>0</v>
      </c>
      <c r="U494" s="10">
        <v>0</v>
      </c>
      <c r="V494" s="10">
        <v>0</v>
      </c>
      <c r="W494" s="10">
        <v>3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E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X494" s="55" t="s">
        <v>967</v>
      </c>
      <c r="AY494" s="55" t="s">
        <v>754</v>
      </c>
    </row>
    <row r="495" spans="1:51" x14ac:dyDescent="0.3">
      <c r="A495" t="s">
        <v>968</v>
      </c>
      <c r="B495" t="s">
        <v>966</v>
      </c>
      <c r="C495">
        <v>40.455601999999999</v>
      </c>
      <c r="D495">
        <v>0.38447999999999999</v>
      </c>
      <c r="F495" s="10" t="s">
        <v>644</v>
      </c>
      <c r="G495" s="10" t="s">
        <v>54</v>
      </c>
      <c r="H495" s="11">
        <v>-700</v>
      </c>
      <c r="I495" s="11">
        <v>-500</v>
      </c>
      <c r="J495" s="10" t="s">
        <v>299</v>
      </c>
      <c r="K495" s="10" t="s">
        <v>300</v>
      </c>
      <c r="M495" s="10" t="s">
        <v>73</v>
      </c>
      <c r="O495" s="10" t="s">
        <v>60</v>
      </c>
      <c r="P495" s="10" t="s">
        <v>61</v>
      </c>
      <c r="Q495" s="10">
        <v>6</v>
      </c>
      <c r="R495" s="10">
        <v>0</v>
      </c>
      <c r="S495" s="10">
        <v>6</v>
      </c>
      <c r="T495" s="10">
        <v>1</v>
      </c>
      <c r="U495" s="10">
        <v>0</v>
      </c>
      <c r="V495" s="10">
        <v>1</v>
      </c>
      <c r="W495" s="10">
        <v>3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E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X495" s="55" t="s">
        <v>967</v>
      </c>
      <c r="AY495" s="55" t="s">
        <v>754</v>
      </c>
    </row>
    <row r="496" spans="1:51" x14ac:dyDescent="0.3">
      <c r="A496" t="s">
        <v>969</v>
      </c>
      <c r="B496" t="s">
        <v>888</v>
      </c>
      <c r="C496">
        <v>42.005507000000001</v>
      </c>
      <c r="D496">
        <v>3.0782530000000001</v>
      </c>
      <c r="F496" s="10" t="s">
        <v>644</v>
      </c>
      <c r="G496" s="10" t="s">
        <v>54</v>
      </c>
      <c r="H496" s="11">
        <v>-400</v>
      </c>
      <c r="I496" s="11">
        <v>-200</v>
      </c>
      <c r="J496" s="10" t="s">
        <v>675</v>
      </c>
      <c r="K496" s="10" t="s">
        <v>300</v>
      </c>
      <c r="M496" s="10" t="s">
        <v>421</v>
      </c>
      <c r="O496" s="10" t="s">
        <v>60</v>
      </c>
      <c r="P496" s="10" t="s">
        <v>61</v>
      </c>
      <c r="S496" s="10">
        <v>25293</v>
      </c>
      <c r="V496" s="10">
        <v>146</v>
      </c>
      <c r="W496" s="10">
        <v>23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E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0">
        <v>0</v>
      </c>
      <c r="AT496" s="10">
        <v>0</v>
      </c>
      <c r="AU496" s="10">
        <v>0</v>
      </c>
      <c r="AX496" s="15" t="s">
        <v>700</v>
      </c>
      <c r="AY496" s="15" t="s">
        <v>701</v>
      </c>
    </row>
    <row r="497" spans="1:51" x14ac:dyDescent="0.3">
      <c r="A497" t="s">
        <v>970</v>
      </c>
      <c r="B497" t="s">
        <v>971</v>
      </c>
      <c r="C497">
        <v>39.699094000000002</v>
      </c>
      <c r="D497">
        <v>-0.544821</v>
      </c>
      <c r="F497" s="10" t="s">
        <v>644</v>
      </c>
      <c r="G497" s="10" t="s">
        <v>54</v>
      </c>
      <c r="H497" s="11">
        <v>-300</v>
      </c>
      <c r="I497" s="11">
        <v>-200</v>
      </c>
      <c r="J497" s="10" t="s">
        <v>675</v>
      </c>
      <c r="K497" s="10" t="s">
        <v>300</v>
      </c>
      <c r="M497" s="10" t="s">
        <v>73</v>
      </c>
      <c r="O497" s="10" t="s">
        <v>60</v>
      </c>
      <c r="P497" s="10" t="s">
        <v>61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1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E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X497" s="55" t="s">
        <v>972</v>
      </c>
      <c r="AY497" s="55" t="s">
        <v>740</v>
      </c>
    </row>
    <row r="498" spans="1:51" x14ac:dyDescent="0.3">
      <c r="A498" t="s">
        <v>199</v>
      </c>
      <c r="B498" t="s">
        <v>973</v>
      </c>
      <c r="C498">
        <v>42.546827</v>
      </c>
      <c r="D498">
        <v>3.0316360000000002</v>
      </c>
      <c r="F498" s="10" t="s">
        <v>53</v>
      </c>
      <c r="G498" s="10" t="s">
        <v>54</v>
      </c>
      <c r="H498" s="11">
        <v>-900</v>
      </c>
      <c r="I498" s="11">
        <v>-750</v>
      </c>
      <c r="J498" s="10" t="s">
        <v>195</v>
      </c>
      <c r="K498" s="10" t="s">
        <v>57</v>
      </c>
      <c r="M498" s="10" t="s">
        <v>59</v>
      </c>
      <c r="O498" s="10" t="s">
        <v>60</v>
      </c>
      <c r="P498" s="10" t="s">
        <v>61</v>
      </c>
      <c r="S498" s="10">
        <v>426</v>
      </c>
      <c r="V498" s="10">
        <v>0</v>
      </c>
      <c r="W498" s="10">
        <v>1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E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X498" s="55" t="s">
        <v>974</v>
      </c>
      <c r="AY498" s="55" t="s">
        <v>78</v>
      </c>
    </row>
    <row r="499" spans="1:51" x14ac:dyDescent="0.3">
      <c r="A499" t="s">
        <v>975</v>
      </c>
      <c r="B499" t="s">
        <v>255</v>
      </c>
      <c r="C499">
        <v>43.552047000000002</v>
      </c>
      <c r="D499">
        <v>3.2757559999999999</v>
      </c>
      <c r="F499" s="10" t="s">
        <v>53</v>
      </c>
      <c r="G499" s="10" t="s">
        <v>54</v>
      </c>
      <c r="H499" s="11">
        <v>-400</v>
      </c>
      <c r="I499" s="11">
        <v>-200</v>
      </c>
      <c r="J499" s="10" t="s">
        <v>675</v>
      </c>
      <c r="K499" s="10" t="s">
        <v>300</v>
      </c>
      <c r="M499" s="10" t="s">
        <v>73</v>
      </c>
      <c r="O499" s="10" t="s">
        <v>60</v>
      </c>
      <c r="P499" s="10" t="s">
        <v>61</v>
      </c>
      <c r="Q499" s="10">
        <v>8</v>
      </c>
      <c r="R499" s="10">
        <v>285</v>
      </c>
      <c r="S499" s="9">
        <f t="shared" ref="S499" si="33">Q499+(R499/2)</f>
        <v>150.5</v>
      </c>
      <c r="T499" s="10">
        <v>2</v>
      </c>
      <c r="U499" s="10">
        <v>12</v>
      </c>
      <c r="V499" s="10">
        <f t="shared" ref="V499" si="34">T499+(U499/2)</f>
        <v>8</v>
      </c>
      <c r="W499" s="10">
        <v>2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E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X499" s="55" t="s">
        <v>976</v>
      </c>
      <c r="AY499" s="55" t="s">
        <v>256</v>
      </c>
    </row>
    <row r="500" spans="1:51" x14ac:dyDescent="0.3">
      <c r="A500" t="s">
        <v>977</v>
      </c>
      <c r="B500" t="s">
        <v>978</v>
      </c>
      <c r="C500">
        <v>41.593057999999999</v>
      </c>
      <c r="D500">
        <v>0.61903200000000003</v>
      </c>
      <c r="F500" s="10" t="s">
        <v>644</v>
      </c>
      <c r="G500" s="10" t="s">
        <v>54</v>
      </c>
      <c r="H500" s="11">
        <v>-400</v>
      </c>
      <c r="I500" s="11">
        <v>-200</v>
      </c>
      <c r="J500" s="10" t="s">
        <v>675</v>
      </c>
      <c r="K500" s="10" t="s">
        <v>300</v>
      </c>
      <c r="M500" s="10" t="s">
        <v>59</v>
      </c>
      <c r="O500" s="10" t="s">
        <v>60</v>
      </c>
      <c r="P500" s="10" t="s">
        <v>61</v>
      </c>
      <c r="S500" s="10">
        <v>32</v>
      </c>
      <c r="V500" s="10">
        <v>0</v>
      </c>
      <c r="W500" s="10">
        <v>5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E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X500" s="55" t="s">
        <v>882</v>
      </c>
      <c r="AY500" s="55" t="s">
        <v>677</v>
      </c>
    </row>
    <row r="501" spans="1:51" x14ac:dyDescent="0.3">
      <c r="A501" t="s">
        <v>979</v>
      </c>
      <c r="B501" t="s">
        <v>980</v>
      </c>
      <c r="C501">
        <v>42.014887000000002</v>
      </c>
      <c r="D501">
        <v>1.565143</v>
      </c>
      <c r="F501" s="10" t="s">
        <v>644</v>
      </c>
      <c r="G501" s="10" t="s">
        <v>54</v>
      </c>
      <c r="H501" s="11">
        <v>-300</v>
      </c>
      <c r="I501" s="11">
        <v>-200</v>
      </c>
      <c r="J501" s="10" t="s">
        <v>675</v>
      </c>
      <c r="K501" s="10" t="s">
        <v>300</v>
      </c>
      <c r="M501" s="10" t="s">
        <v>73</v>
      </c>
      <c r="O501" s="10" t="s">
        <v>60</v>
      </c>
      <c r="P501" s="10" t="s">
        <v>61</v>
      </c>
      <c r="Q501"/>
      <c r="S501" s="10">
        <v>5059</v>
      </c>
      <c r="V501" s="10">
        <v>10</v>
      </c>
      <c r="W501" s="10">
        <v>36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E501" s="10">
        <v>0</v>
      </c>
      <c r="AG501" s="10">
        <v>1</v>
      </c>
      <c r="AH501" s="10">
        <v>3</v>
      </c>
      <c r="AI501" s="10">
        <v>0</v>
      </c>
      <c r="AJ501" s="10">
        <v>3</v>
      </c>
      <c r="AK501" s="10">
        <v>0</v>
      </c>
      <c r="AL501" s="10">
        <v>2</v>
      </c>
      <c r="AM501" s="10">
        <v>0</v>
      </c>
      <c r="AN501" s="10" t="s">
        <v>62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X501" s="55" t="s">
        <v>981</v>
      </c>
      <c r="AY501" s="55" t="s">
        <v>694</v>
      </c>
    </row>
    <row r="502" spans="1:51" x14ac:dyDescent="0.3">
      <c r="A502" t="s">
        <v>982</v>
      </c>
      <c r="B502" t="s">
        <v>909</v>
      </c>
      <c r="C502">
        <v>40.548487000000002</v>
      </c>
      <c r="D502">
        <v>0.45072000000000001</v>
      </c>
      <c r="F502" s="10" t="s">
        <v>644</v>
      </c>
      <c r="G502" s="10" t="s">
        <v>54</v>
      </c>
      <c r="H502" s="11">
        <v>-750</v>
      </c>
      <c r="I502" s="11">
        <v>-500</v>
      </c>
      <c r="J502" s="10" t="s">
        <v>299</v>
      </c>
      <c r="K502" s="10" t="s">
        <v>300</v>
      </c>
      <c r="M502" s="10" t="s">
        <v>73</v>
      </c>
      <c r="O502" s="10" t="s">
        <v>60</v>
      </c>
      <c r="P502" s="10" t="s">
        <v>61</v>
      </c>
      <c r="Q502" s="10">
        <v>7021</v>
      </c>
      <c r="R502" s="10">
        <v>382</v>
      </c>
      <c r="S502" s="10">
        <f t="shared" ref="S502" si="35">Q502+(R502/2)</f>
        <v>7212</v>
      </c>
      <c r="T502" s="10">
        <v>162</v>
      </c>
      <c r="U502" s="10">
        <v>63</v>
      </c>
      <c r="V502" s="9">
        <f t="shared" ref="V502" si="36">T502+(U502/2)</f>
        <v>193.5</v>
      </c>
      <c r="W502" s="10">
        <v>13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E502" s="10">
        <v>0</v>
      </c>
      <c r="AG502" s="10">
        <v>1</v>
      </c>
      <c r="AH502" s="10">
        <v>8</v>
      </c>
      <c r="AI502" s="10">
        <v>2</v>
      </c>
      <c r="AJ502" s="9">
        <f>AH502+(AI502/2)</f>
        <v>9</v>
      </c>
      <c r="AK502" s="10">
        <v>0</v>
      </c>
      <c r="AL502" s="10">
        <v>4</v>
      </c>
      <c r="AM502" s="10">
        <v>0</v>
      </c>
      <c r="AN502" s="10" t="s">
        <v>500</v>
      </c>
      <c r="AO502" s="10">
        <v>0</v>
      </c>
      <c r="AP502" s="10">
        <v>0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X502" s="55" t="s">
        <v>781</v>
      </c>
      <c r="AY502" s="55" t="s">
        <v>694</v>
      </c>
    </row>
    <row r="503" spans="1:51" x14ac:dyDescent="0.3">
      <c r="A503" t="s">
        <v>983</v>
      </c>
      <c r="B503" t="s">
        <v>218</v>
      </c>
      <c r="C503">
        <v>43.640694940000003</v>
      </c>
      <c r="D503">
        <v>3.892102</v>
      </c>
      <c r="F503" s="10" t="s">
        <v>53</v>
      </c>
      <c r="G503" s="10" t="s">
        <v>54</v>
      </c>
      <c r="H503" s="11">
        <v>-1200</v>
      </c>
      <c r="I503" s="11">
        <v>-700</v>
      </c>
      <c r="J503" s="10" t="s">
        <v>195</v>
      </c>
      <c r="K503" s="10" t="s">
        <v>57</v>
      </c>
      <c r="M503" s="10" t="s">
        <v>73</v>
      </c>
      <c r="O503" s="10" t="s">
        <v>60</v>
      </c>
      <c r="P503" s="10" t="s">
        <v>61</v>
      </c>
      <c r="S503" s="10">
        <v>23</v>
      </c>
      <c r="V503" s="10">
        <v>1</v>
      </c>
      <c r="W503" s="10">
        <v>1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E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O503" s="10">
        <v>0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X503" s="56" t="s">
        <v>460</v>
      </c>
      <c r="AY503" s="56" t="s">
        <v>131</v>
      </c>
    </row>
    <row r="504" spans="1:51" x14ac:dyDescent="0.3">
      <c r="A504" t="s">
        <v>983</v>
      </c>
      <c r="B504" t="s">
        <v>218</v>
      </c>
      <c r="C504">
        <v>43.640694940000003</v>
      </c>
      <c r="D504">
        <v>3.892102</v>
      </c>
      <c r="F504" s="10" t="s">
        <v>53</v>
      </c>
      <c r="G504" s="10" t="s">
        <v>54</v>
      </c>
      <c r="H504" s="11">
        <v>-700</v>
      </c>
      <c r="I504" s="11">
        <v>-500</v>
      </c>
      <c r="J504" s="10" t="s">
        <v>299</v>
      </c>
      <c r="K504" s="10" t="s">
        <v>300</v>
      </c>
      <c r="M504" s="10" t="s">
        <v>73</v>
      </c>
      <c r="O504" s="10" t="s">
        <v>60</v>
      </c>
      <c r="P504" s="10" t="s">
        <v>61</v>
      </c>
      <c r="S504" s="10">
        <v>97</v>
      </c>
      <c r="V504" s="10">
        <v>8</v>
      </c>
      <c r="W504" s="10">
        <v>1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E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X504" s="56" t="s">
        <v>460</v>
      </c>
      <c r="AY504" s="56" t="s">
        <v>131</v>
      </c>
    </row>
    <row r="505" spans="1:51" x14ac:dyDescent="0.3">
      <c r="A505" t="s">
        <v>984</v>
      </c>
      <c r="B505" t="s">
        <v>985</v>
      </c>
      <c r="C505">
        <v>39.960875000000001</v>
      </c>
      <c r="D505">
        <v>-0.121794</v>
      </c>
      <c r="F505" s="10" t="s">
        <v>644</v>
      </c>
      <c r="G505" s="10" t="s">
        <v>54</v>
      </c>
      <c r="H505" s="11">
        <v>-700</v>
      </c>
      <c r="I505" s="11">
        <v>-600</v>
      </c>
      <c r="J505" s="10" t="s">
        <v>299</v>
      </c>
      <c r="K505" s="10" t="s">
        <v>300</v>
      </c>
      <c r="M505" s="10" t="s">
        <v>73</v>
      </c>
      <c r="O505" s="10" t="s">
        <v>60</v>
      </c>
      <c r="P505" s="10" t="s">
        <v>61</v>
      </c>
      <c r="S505" s="10">
        <v>1587</v>
      </c>
      <c r="V505" s="10">
        <v>7</v>
      </c>
      <c r="W505" s="10">
        <v>5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E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O505" s="10">
        <v>0</v>
      </c>
      <c r="AP505" s="10">
        <v>0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X505" s="55" t="s">
        <v>986</v>
      </c>
      <c r="AY505" s="55" t="s">
        <v>754</v>
      </c>
    </row>
    <row r="506" spans="1:51" x14ac:dyDescent="0.3">
      <c r="A506" t="s">
        <v>987</v>
      </c>
      <c r="B506" t="s">
        <v>988</v>
      </c>
      <c r="C506">
        <v>39.559367999999999</v>
      </c>
      <c r="D506">
        <v>-0.42027300000000001</v>
      </c>
      <c r="F506" s="10" t="s">
        <v>644</v>
      </c>
      <c r="G506" s="10" t="s">
        <v>54</v>
      </c>
      <c r="H506" s="11">
        <v>-500</v>
      </c>
      <c r="I506" s="11">
        <v>-300</v>
      </c>
      <c r="J506" s="10" t="s">
        <v>675</v>
      </c>
      <c r="K506" s="10" t="s">
        <v>300</v>
      </c>
      <c r="M506" s="10" t="s">
        <v>73</v>
      </c>
      <c r="O506" s="10" t="s">
        <v>60</v>
      </c>
      <c r="P506" s="10" t="s">
        <v>61</v>
      </c>
      <c r="Q506" s="10">
        <v>1462</v>
      </c>
      <c r="R506" s="10">
        <v>630</v>
      </c>
      <c r="S506" s="10">
        <f t="shared" ref="S506" si="37">Q506+(R506/2)</f>
        <v>1777</v>
      </c>
      <c r="T506" s="10">
        <v>14</v>
      </c>
      <c r="U506" s="10">
        <v>9</v>
      </c>
      <c r="V506" s="9">
        <f t="shared" ref="V506" si="38">T506+(U506/2)</f>
        <v>18.5</v>
      </c>
      <c r="W506" s="10">
        <v>35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E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v>0</v>
      </c>
      <c r="AT506" s="10">
        <v>0</v>
      </c>
      <c r="AU506" s="10">
        <v>0</v>
      </c>
      <c r="AX506" s="55" t="s">
        <v>739</v>
      </c>
      <c r="AY506" s="55" t="s">
        <v>740</v>
      </c>
    </row>
    <row r="507" spans="1:51" x14ac:dyDescent="0.3">
      <c r="A507" t="s">
        <v>989</v>
      </c>
      <c r="B507" t="s">
        <v>990</v>
      </c>
      <c r="C507">
        <v>40.282499999999999</v>
      </c>
      <c r="D507">
        <v>-6.11E-3</v>
      </c>
      <c r="F507" s="10" t="s">
        <v>644</v>
      </c>
      <c r="G507" s="10" t="s">
        <v>54</v>
      </c>
      <c r="H507" s="11">
        <v>-700</v>
      </c>
      <c r="I507" s="11">
        <v>-650</v>
      </c>
      <c r="J507" s="10" t="s">
        <v>299</v>
      </c>
      <c r="K507" s="10" t="s">
        <v>300</v>
      </c>
      <c r="M507" s="10" t="s">
        <v>73</v>
      </c>
      <c r="O507" s="10" t="s">
        <v>60</v>
      </c>
      <c r="P507" s="10" t="s">
        <v>61</v>
      </c>
      <c r="S507" s="10">
        <v>254</v>
      </c>
      <c r="V507" s="10">
        <v>0</v>
      </c>
      <c r="W507" s="10">
        <v>17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E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X507" s="55" t="s">
        <v>928</v>
      </c>
      <c r="AY507" s="55" t="s">
        <v>740</v>
      </c>
    </row>
    <row r="508" spans="1:51" x14ac:dyDescent="0.3">
      <c r="A508" t="s">
        <v>991</v>
      </c>
      <c r="B508" t="s">
        <v>992</v>
      </c>
      <c r="C508">
        <v>41.614423160000001</v>
      </c>
      <c r="D508">
        <v>0.83833899999999995</v>
      </c>
      <c r="F508" s="10" t="s">
        <v>644</v>
      </c>
      <c r="G508" s="10" t="s">
        <v>54</v>
      </c>
      <c r="H508" s="11">
        <v>-400</v>
      </c>
      <c r="I508" s="11">
        <v>-200</v>
      </c>
      <c r="J508" s="10" t="s">
        <v>675</v>
      </c>
      <c r="K508" s="10" t="s">
        <v>300</v>
      </c>
      <c r="M508" s="10" t="s">
        <v>73</v>
      </c>
      <c r="O508" s="10" t="s">
        <v>60</v>
      </c>
      <c r="P508" s="10" t="s">
        <v>61</v>
      </c>
      <c r="S508" s="10">
        <v>4463</v>
      </c>
      <c r="V508" s="10">
        <v>0</v>
      </c>
      <c r="W508" s="10">
        <v>1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E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X508" s="15" t="s">
        <v>835</v>
      </c>
      <c r="AY508" s="15" t="s">
        <v>677</v>
      </c>
    </row>
    <row r="509" spans="1:51" x14ac:dyDescent="0.3">
      <c r="A509" t="s">
        <v>993</v>
      </c>
      <c r="B509" t="s">
        <v>994</v>
      </c>
      <c r="C509">
        <v>40.140401480000001</v>
      </c>
      <c r="D509">
        <v>0.105836</v>
      </c>
      <c r="F509" s="10" t="s">
        <v>644</v>
      </c>
      <c r="G509" s="10" t="s">
        <v>54</v>
      </c>
      <c r="H509" s="11">
        <v>-650</v>
      </c>
      <c r="I509" s="11">
        <v>-550</v>
      </c>
      <c r="J509" s="10" t="s">
        <v>299</v>
      </c>
      <c r="K509" s="10" t="s">
        <v>300</v>
      </c>
      <c r="M509" s="10" t="s">
        <v>73</v>
      </c>
      <c r="O509" s="10" t="s">
        <v>60</v>
      </c>
      <c r="P509" s="10" t="s">
        <v>61</v>
      </c>
      <c r="S509" s="10">
        <v>5</v>
      </c>
      <c r="V509" s="10">
        <v>10</v>
      </c>
      <c r="W509" s="10">
        <v>18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E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X509" s="55" t="s">
        <v>928</v>
      </c>
      <c r="AY509" s="55" t="s">
        <v>995</v>
      </c>
    </row>
    <row r="510" spans="1:51" x14ac:dyDescent="0.3">
      <c r="A510" t="s">
        <v>996</v>
      </c>
      <c r="B510" t="s">
        <v>997</v>
      </c>
      <c r="C510">
        <v>41.435077999999997</v>
      </c>
      <c r="D510">
        <v>0.129803</v>
      </c>
      <c r="F510" s="10" t="s">
        <v>644</v>
      </c>
      <c r="G510" s="10" t="s">
        <v>54</v>
      </c>
      <c r="H510" s="11">
        <v>-700</v>
      </c>
      <c r="I510" s="11">
        <v>-500</v>
      </c>
      <c r="J510" s="10" t="s">
        <v>299</v>
      </c>
      <c r="K510" s="10" t="s">
        <v>300</v>
      </c>
      <c r="M510" s="10" t="s">
        <v>59</v>
      </c>
      <c r="O510" s="10" t="s">
        <v>60</v>
      </c>
      <c r="P510" s="10" t="s">
        <v>61</v>
      </c>
      <c r="S510" s="10">
        <v>15</v>
      </c>
      <c r="V510" s="10">
        <v>0</v>
      </c>
      <c r="W510" s="10">
        <v>1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E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X510" s="55" t="s">
        <v>882</v>
      </c>
      <c r="AY510" s="55" t="s">
        <v>677</v>
      </c>
    </row>
    <row r="511" spans="1:51" x14ac:dyDescent="0.3">
      <c r="A511" t="s">
        <v>998</v>
      </c>
      <c r="B511" t="s">
        <v>999</v>
      </c>
      <c r="C511">
        <v>41.548822999999999</v>
      </c>
      <c r="D511">
        <v>0.92729399999999995</v>
      </c>
      <c r="F511" s="10" t="s">
        <v>644</v>
      </c>
      <c r="G511" s="10" t="s">
        <v>54</v>
      </c>
      <c r="H511" s="11">
        <v>-800</v>
      </c>
      <c r="I511" s="11">
        <v>-500</v>
      </c>
      <c r="J511" s="10" t="s">
        <v>299</v>
      </c>
      <c r="K511" s="10" t="s">
        <v>300</v>
      </c>
      <c r="M511" s="10" t="s">
        <v>73</v>
      </c>
      <c r="O511" s="10" t="s">
        <v>60</v>
      </c>
      <c r="P511" s="10" t="s">
        <v>61</v>
      </c>
      <c r="Q511" s="10">
        <v>50</v>
      </c>
      <c r="R511" s="10">
        <v>282</v>
      </c>
      <c r="S511" s="10">
        <f t="shared" ref="S511:S512" si="39">Q511+(R511/2)</f>
        <v>191</v>
      </c>
      <c r="T511" s="10">
        <v>2</v>
      </c>
      <c r="U511" s="10">
        <v>1</v>
      </c>
      <c r="V511" s="9">
        <f t="shared" ref="V511:V512" si="40">T511+(U511/2)</f>
        <v>2.5</v>
      </c>
      <c r="W511" s="10">
        <v>65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E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X511" s="55" t="s">
        <v>882</v>
      </c>
      <c r="AY511" s="55" t="s">
        <v>677</v>
      </c>
    </row>
    <row r="512" spans="1:51" x14ac:dyDescent="0.3">
      <c r="A512" t="s">
        <v>998</v>
      </c>
      <c r="B512" t="s">
        <v>999</v>
      </c>
      <c r="C512">
        <v>41.548822999999999</v>
      </c>
      <c r="D512">
        <v>0.92729399999999995</v>
      </c>
      <c r="F512" s="10" t="s">
        <v>644</v>
      </c>
      <c r="G512" s="10" t="s">
        <v>54</v>
      </c>
      <c r="H512" s="11">
        <v>-500</v>
      </c>
      <c r="I512" s="11">
        <v>-300</v>
      </c>
      <c r="J512" s="10" t="s">
        <v>675</v>
      </c>
      <c r="K512" s="10" t="s">
        <v>300</v>
      </c>
      <c r="M512" s="10" t="s">
        <v>73</v>
      </c>
      <c r="O512" s="10" t="s">
        <v>60</v>
      </c>
      <c r="P512" s="10" t="s">
        <v>61</v>
      </c>
      <c r="Q512" s="10">
        <v>1747</v>
      </c>
      <c r="R512" s="10">
        <v>4084</v>
      </c>
      <c r="S512" s="10">
        <f t="shared" si="39"/>
        <v>3789</v>
      </c>
      <c r="T512" s="10">
        <v>6</v>
      </c>
      <c r="U512" s="10">
        <v>5</v>
      </c>
      <c r="V512" s="9">
        <f t="shared" si="40"/>
        <v>8.5</v>
      </c>
      <c r="W512" s="10">
        <v>59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E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0">
        <v>0</v>
      </c>
      <c r="AT512" s="10">
        <v>0</v>
      </c>
      <c r="AU512" s="10">
        <v>0</v>
      </c>
      <c r="AX512" s="55" t="s">
        <v>882</v>
      </c>
      <c r="AY512" s="55" t="s">
        <v>677</v>
      </c>
    </row>
    <row r="513" spans="1:51" x14ac:dyDescent="0.3">
      <c r="A513" t="s">
        <v>1000</v>
      </c>
      <c r="B513" t="s">
        <v>1001</v>
      </c>
      <c r="C513">
        <v>39.898278599999998</v>
      </c>
      <c r="D513">
        <v>-8.0601999999999993E-2</v>
      </c>
      <c r="F513" s="10" t="s">
        <v>644</v>
      </c>
      <c r="G513" s="10" t="s">
        <v>54</v>
      </c>
      <c r="H513" s="11">
        <v>-700</v>
      </c>
      <c r="I513" s="11">
        <v>-500</v>
      </c>
      <c r="J513" s="10" t="s">
        <v>299</v>
      </c>
      <c r="K513" s="10" t="s">
        <v>300</v>
      </c>
      <c r="M513" s="10" t="s">
        <v>73</v>
      </c>
      <c r="O513" s="10" t="s">
        <v>60</v>
      </c>
      <c r="P513" s="10" t="s">
        <v>61</v>
      </c>
      <c r="S513" s="10">
        <v>20270</v>
      </c>
      <c r="V513" s="9">
        <v>2</v>
      </c>
      <c r="W513" s="10">
        <v>1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E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X513" s="55" t="s">
        <v>1002</v>
      </c>
      <c r="AY513" s="55" t="s">
        <v>672</v>
      </c>
    </row>
    <row r="514" spans="1:51" x14ac:dyDescent="0.3">
      <c r="A514" t="s">
        <v>1003</v>
      </c>
      <c r="B514" t="s">
        <v>945</v>
      </c>
      <c r="C514">
        <v>41.516344949999997</v>
      </c>
      <c r="D514">
        <v>0.35626099999999999</v>
      </c>
      <c r="F514" s="10" t="s">
        <v>644</v>
      </c>
      <c r="G514" s="10" t="s">
        <v>54</v>
      </c>
      <c r="H514" s="11">
        <v>-1200</v>
      </c>
      <c r="I514" s="11">
        <v>-800</v>
      </c>
      <c r="J514" s="10" t="s">
        <v>195</v>
      </c>
      <c r="K514" s="10" t="s">
        <v>57</v>
      </c>
      <c r="M514" s="10" t="s">
        <v>59</v>
      </c>
      <c r="O514" s="10" t="s">
        <v>60</v>
      </c>
      <c r="P514" s="10" t="s">
        <v>61</v>
      </c>
      <c r="S514" s="10">
        <v>413</v>
      </c>
      <c r="V514" s="10">
        <v>0</v>
      </c>
      <c r="W514" s="10">
        <v>12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E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0">
        <v>0</v>
      </c>
      <c r="AT514" s="10">
        <v>0</v>
      </c>
      <c r="AU514" s="10">
        <v>0</v>
      </c>
      <c r="AX514" s="55" t="s">
        <v>1004</v>
      </c>
      <c r="AY514" s="55" t="s">
        <v>677</v>
      </c>
    </row>
    <row r="515" spans="1:51" x14ac:dyDescent="0.3">
      <c r="AM515" s="14"/>
    </row>
    <row r="516" spans="1:51" x14ac:dyDescent="0.3">
      <c r="AM516" s="14"/>
    </row>
    <row r="517" spans="1:51" x14ac:dyDescent="0.3">
      <c r="AM517" s="14"/>
    </row>
    <row r="518" spans="1:51" x14ac:dyDescent="0.3">
      <c r="AM518" s="14"/>
    </row>
    <row r="519" spans="1:51" x14ac:dyDescent="0.3">
      <c r="AM519" s="14"/>
    </row>
    <row r="520" spans="1:51" x14ac:dyDescent="0.3">
      <c r="AM520" s="14"/>
    </row>
    <row r="521" spans="1:51" x14ac:dyDescent="0.3">
      <c r="AM521" s="14"/>
    </row>
    <row r="522" spans="1:51" x14ac:dyDescent="0.3">
      <c r="AM522" s="14"/>
    </row>
    <row r="523" spans="1:51" x14ac:dyDescent="0.3">
      <c r="AM523" s="14"/>
    </row>
    <row r="524" spans="1:51" x14ac:dyDescent="0.3">
      <c r="AM524" s="14"/>
    </row>
    <row r="525" spans="1:51" x14ac:dyDescent="0.3">
      <c r="AM525" s="14"/>
    </row>
    <row r="526" spans="1:51" x14ac:dyDescent="0.3">
      <c r="AM526" s="14"/>
    </row>
    <row r="527" spans="1:51" x14ac:dyDescent="0.3">
      <c r="AM527" s="14"/>
    </row>
    <row r="528" spans="1:51" x14ac:dyDescent="0.3">
      <c r="AM528" s="14"/>
    </row>
    <row r="529" spans="39:39" x14ac:dyDescent="0.3">
      <c r="AM529" s="14"/>
    </row>
    <row r="530" spans="39:39" x14ac:dyDescent="0.3">
      <c r="AM530" s="14"/>
    </row>
    <row r="531" spans="39:39" x14ac:dyDescent="0.3">
      <c r="AM531" s="14"/>
    </row>
    <row r="532" spans="39:39" x14ac:dyDescent="0.3">
      <c r="AM532" s="14"/>
    </row>
    <row r="533" spans="39:39" x14ac:dyDescent="0.3">
      <c r="AM533" s="14"/>
    </row>
    <row r="534" spans="39:39" x14ac:dyDescent="0.3">
      <c r="AM534" s="14"/>
    </row>
    <row r="535" spans="39:39" x14ac:dyDescent="0.3">
      <c r="AM535" s="14"/>
    </row>
    <row r="536" spans="39:39" x14ac:dyDescent="0.3">
      <c r="AM536" s="14"/>
    </row>
    <row r="537" spans="39:39" x14ac:dyDescent="0.3">
      <c r="AM537" s="14"/>
    </row>
    <row r="538" spans="39:39" x14ac:dyDescent="0.3">
      <c r="AM538" s="14"/>
    </row>
    <row r="539" spans="39:39" x14ac:dyDescent="0.3">
      <c r="AM539" s="14"/>
    </row>
    <row r="540" spans="39:39" x14ac:dyDescent="0.3">
      <c r="AM540" s="14"/>
    </row>
    <row r="541" spans="39:39" x14ac:dyDescent="0.3">
      <c r="AM541" s="14"/>
    </row>
    <row r="542" spans="39:39" x14ac:dyDescent="0.3">
      <c r="AM542" s="14"/>
    </row>
    <row r="543" spans="39:39" x14ac:dyDescent="0.3">
      <c r="AM543" s="14"/>
    </row>
    <row r="544" spans="39:39" x14ac:dyDescent="0.3">
      <c r="AM544" s="14"/>
    </row>
    <row r="545" spans="39:39" x14ac:dyDescent="0.3">
      <c r="AM545" s="14"/>
    </row>
    <row r="546" spans="39:39" x14ac:dyDescent="0.3">
      <c r="AM546" s="14"/>
    </row>
    <row r="547" spans="39:39" x14ac:dyDescent="0.3">
      <c r="AM547" s="14"/>
    </row>
    <row r="548" spans="39:39" x14ac:dyDescent="0.3">
      <c r="AM548" s="14"/>
    </row>
    <row r="549" spans="39:39" x14ac:dyDescent="0.3">
      <c r="AM549" s="14"/>
    </row>
    <row r="550" spans="39:39" x14ac:dyDescent="0.3">
      <c r="AM550" s="14"/>
    </row>
    <row r="551" spans="39:39" x14ac:dyDescent="0.3">
      <c r="AM551" s="14"/>
    </row>
    <row r="552" spans="39:39" x14ac:dyDescent="0.3">
      <c r="AM552" s="14"/>
    </row>
    <row r="553" spans="39:39" x14ac:dyDescent="0.3">
      <c r="AM553" s="14"/>
    </row>
    <row r="554" spans="39:39" x14ac:dyDescent="0.3">
      <c r="AM554" s="14"/>
    </row>
    <row r="555" spans="39:39" x14ac:dyDescent="0.3">
      <c r="AM555" s="14"/>
    </row>
    <row r="556" spans="39:39" x14ac:dyDescent="0.3">
      <c r="AM556" s="14"/>
    </row>
    <row r="557" spans="39:39" x14ac:dyDescent="0.3">
      <c r="AM557" s="14"/>
    </row>
    <row r="558" spans="39:39" x14ac:dyDescent="0.3">
      <c r="AM558" s="14"/>
    </row>
    <row r="559" spans="39:39" x14ac:dyDescent="0.3">
      <c r="AM559" s="14"/>
    </row>
    <row r="560" spans="39:39" x14ac:dyDescent="0.3">
      <c r="AM560" s="14"/>
    </row>
    <row r="561" spans="39:39" x14ac:dyDescent="0.3">
      <c r="AM561" s="14"/>
    </row>
    <row r="562" spans="39:39" x14ac:dyDescent="0.3">
      <c r="AM562" s="14"/>
    </row>
    <row r="563" spans="39:39" x14ac:dyDescent="0.3">
      <c r="AM563" s="14"/>
    </row>
    <row r="564" spans="39:39" x14ac:dyDescent="0.3">
      <c r="AM564" s="14"/>
    </row>
    <row r="565" spans="39:39" x14ac:dyDescent="0.3">
      <c r="AM565" s="14"/>
    </row>
    <row r="566" spans="39:39" x14ac:dyDescent="0.3">
      <c r="AM566" s="14"/>
    </row>
    <row r="567" spans="39:39" x14ac:dyDescent="0.3">
      <c r="AM567" s="14"/>
    </row>
    <row r="568" spans="39:39" x14ac:dyDescent="0.3">
      <c r="AM568" s="14"/>
    </row>
    <row r="569" spans="39:39" x14ac:dyDescent="0.3">
      <c r="AM569" s="14"/>
    </row>
    <row r="570" spans="39:39" x14ac:dyDescent="0.3">
      <c r="AM570" s="14"/>
    </row>
    <row r="571" spans="39:39" x14ac:dyDescent="0.3">
      <c r="AM571" s="14"/>
    </row>
    <row r="572" spans="39:39" x14ac:dyDescent="0.3">
      <c r="AM572" s="14"/>
    </row>
    <row r="573" spans="39:39" x14ac:dyDescent="0.3">
      <c r="AM573" s="14"/>
    </row>
    <row r="574" spans="39:39" x14ac:dyDescent="0.3">
      <c r="AM574" s="14"/>
    </row>
    <row r="575" spans="39:39" x14ac:dyDescent="0.3">
      <c r="AM575" s="14"/>
    </row>
    <row r="576" spans="39:39" x14ac:dyDescent="0.3">
      <c r="AM576" s="14"/>
    </row>
    <row r="577" spans="39:39" x14ac:dyDescent="0.3">
      <c r="AM577" s="14"/>
    </row>
    <row r="578" spans="39:39" x14ac:dyDescent="0.3">
      <c r="AM578" s="14"/>
    </row>
    <row r="579" spans="39:39" x14ac:dyDescent="0.3">
      <c r="AM579" s="14"/>
    </row>
    <row r="580" spans="39:39" x14ac:dyDescent="0.3">
      <c r="AM580" s="14"/>
    </row>
    <row r="581" spans="39:39" x14ac:dyDescent="0.3">
      <c r="AM581" s="14"/>
    </row>
    <row r="582" spans="39:39" x14ac:dyDescent="0.3">
      <c r="AM582" s="14"/>
    </row>
    <row r="583" spans="39:39" x14ac:dyDescent="0.3">
      <c r="AM583" s="14"/>
    </row>
    <row r="584" spans="39:39" x14ac:dyDescent="0.3">
      <c r="AM584" s="14"/>
    </row>
    <row r="585" spans="39:39" x14ac:dyDescent="0.3">
      <c r="AM585" s="14"/>
    </row>
    <row r="586" spans="39:39" x14ac:dyDescent="0.3">
      <c r="AM586" s="14"/>
    </row>
    <row r="587" spans="39:39" x14ac:dyDescent="0.3">
      <c r="AM587" s="14"/>
    </row>
    <row r="588" spans="39:39" x14ac:dyDescent="0.3">
      <c r="AM588" s="14"/>
    </row>
    <row r="589" spans="39:39" x14ac:dyDescent="0.3">
      <c r="AM589" s="14"/>
    </row>
    <row r="590" spans="39:39" x14ac:dyDescent="0.3">
      <c r="AM590" s="14"/>
    </row>
    <row r="591" spans="39:39" x14ac:dyDescent="0.3">
      <c r="AM591" s="14"/>
    </row>
    <row r="592" spans="39:39" x14ac:dyDescent="0.3">
      <c r="AM592" s="14"/>
    </row>
    <row r="593" spans="39:39" x14ac:dyDescent="0.3">
      <c r="AM593" s="14"/>
    </row>
    <row r="594" spans="39:39" x14ac:dyDescent="0.3">
      <c r="AM594" s="14"/>
    </row>
    <row r="595" spans="39:39" x14ac:dyDescent="0.3">
      <c r="AM595" s="14"/>
    </row>
    <row r="596" spans="39:39" x14ac:dyDescent="0.3">
      <c r="AM596" s="14"/>
    </row>
    <row r="597" spans="39:39" x14ac:dyDescent="0.3">
      <c r="AM597" s="14"/>
    </row>
    <row r="598" spans="39:39" x14ac:dyDescent="0.3">
      <c r="AM598" s="14"/>
    </row>
    <row r="599" spans="39:39" x14ac:dyDescent="0.3">
      <c r="AM599" s="14"/>
    </row>
    <row r="600" spans="39:39" x14ac:dyDescent="0.3">
      <c r="AM600" s="14"/>
    </row>
    <row r="601" spans="39:39" x14ac:dyDescent="0.3">
      <c r="AM601" s="14"/>
    </row>
    <row r="602" spans="39:39" x14ac:dyDescent="0.3">
      <c r="AM602" s="14"/>
    </row>
    <row r="603" spans="39:39" x14ac:dyDescent="0.3">
      <c r="AM603" s="14"/>
    </row>
    <row r="604" spans="39:39" x14ac:dyDescent="0.3">
      <c r="AM604" s="14"/>
    </row>
    <row r="605" spans="39:39" x14ac:dyDescent="0.3">
      <c r="AM605" s="14"/>
    </row>
    <row r="606" spans="39:39" x14ac:dyDescent="0.3">
      <c r="AM606" s="14"/>
    </row>
    <row r="607" spans="39:39" x14ac:dyDescent="0.3">
      <c r="AM607" s="14"/>
    </row>
    <row r="608" spans="39:39" x14ac:dyDescent="0.3">
      <c r="AM608" s="14"/>
    </row>
    <row r="609" spans="39:39" x14ac:dyDescent="0.3">
      <c r="AM609" s="14"/>
    </row>
    <row r="610" spans="39:39" x14ac:dyDescent="0.3">
      <c r="AM610" s="14"/>
    </row>
    <row r="611" spans="39:39" x14ac:dyDescent="0.3">
      <c r="AM611" s="14"/>
    </row>
    <row r="612" spans="39:39" x14ac:dyDescent="0.3">
      <c r="AM612" s="14"/>
    </row>
    <row r="613" spans="39:39" x14ac:dyDescent="0.3">
      <c r="AM613" s="14"/>
    </row>
    <row r="614" spans="39:39" x14ac:dyDescent="0.3">
      <c r="AM614" s="14"/>
    </row>
    <row r="615" spans="39:39" x14ac:dyDescent="0.3">
      <c r="AM615" s="14"/>
    </row>
    <row r="616" spans="39:39" x14ac:dyDescent="0.3">
      <c r="AM616" s="14"/>
    </row>
    <row r="617" spans="39:39" x14ac:dyDescent="0.3">
      <c r="AM617" s="14"/>
    </row>
    <row r="618" spans="39:39" x14ac:dyDescent="0.3">
      <c r="AM618" s="14"/>
    </row>
    <row r="619" spans="39:39" x14ac:dyDescent="0.3">
      <c r="AM619" s="14"/>
    </row>
    <row r="620" spans="39:39" x14ac:dyDescent="0.3">
      <c r="AM620" s="14"/>
    </row>
    <row r="621" spans="39:39" x14ac:dyDescent="0.3">
      <c r="AM621" s="14"/>
    </row>
    <row r="622" spans="39:39" x14ac:dyDescent="0.3">
      <c r="AM622" s="14"/>
    </row>
    <row r="623" spans="39:39" x14ac:dyDescent="0.3">
      <c r="AM623" s="14"/>
    </row>
    <row r="624" spans="39:39" x14ac:dyDescent="0.3">
      <c r="AM624" s="14"/>
    </row>
    <row r="625" spans="39:39" x14ac:dyDescent="0.3">
      <c r="AM625" s="14"/>
    </row>
    <row r="626" spans="39:39" x14ac:dyDescent="0.3">
      <c r="AM626" s="14"/>
    </row>
    <row r="627" spans="39:39" x14ac:dyDescent="0.3">
      <c r="AM627" s="14"/>
    </row>
    <row r="628" spans="39:39" x14ac:dyDescent="0.3">
      <c r="AM628" s="14"/>
    </row>
    <row r="629" spans="39:39" x14ac:dyDescent="0.3">
      <c r="AM629" s="14"/>
    </row>
    <row r="630" spans="39:39" x14ac:dyDescent="0.3">
      <c r="AM630" s="14"/>
    </row>
    <row r="631" spans="39:39" x14ac:dyDescent="0.3">
      <c r="AM631" s="14"/>
    </row>
    <row r="632" spans="39:39" x14ac:dyDescent="0.3">
      <c r="AM632" s="14"/>
    </row>
    <row r="633" spans="39:39" x14ac:dyDescent="0.3">
      <c r="AM633" s="14"/>
    </row>
    <row r="634" spans="39:39" x14ac:dyDescent="0.3">
      <c r="AM634" s="14"/>
    </row>
    <row r="635" spans="39:39" x14ac:dyDescent="0.3">
      <c r="AM635" s="14"/>
    </row>
    <row r="636" spans="39:39" x14ac:dyDescent="0.3">
      <c r="AM636" s="14"/>
    </row>
    <row r="637" spans="39:39" x14ac:dyDescent="0.3">
      <c r="AM637" s="14"/>
    </row>
    <row r="638" spans="39:39" x14ac:dyDescent="0.3">
      <c r="AM638" s="14"/>
    </row>
    <row r="639" spans="39:39" x14ac:dyDescent="0.3">
      <c r="AM639" s="14"/>
    </row>
    <row r="640" spans="39:39" x14ac:dyDescent="0.3">
      <c r="AM640" s="14"/>
    </row>
    <row r="641" spans="39:39" x14ac:dyDescent="0.3">
      <c r="AM641" s="14"/>
    </row>
    <row r="642" spans="39:39" x14ac:dyDescent="0.3">
      <c r="AM642" s="14"/>
    </row>
    <row r="643" spans="39:39" x14ac:dyDescent="0.3">
      <c r="AM643" s="14"/>
    </row>
    <row r="644" spans="39:39" x14ac:dyDescent="0.3">
      <c r="AM644" s="14"/>
    </row>
    <row r="645" spans="39:39" x14ac:dyDescent="0.3">
      <c r="AM645" s="14"/>
    </row>
    <row r="646" spans="39:39" x14ac:dyDescent="0.3">
      <c r="AM646" s="14"/>
    </row>
    <row r="647" spans="39:39" x14ac:dyDescent="0.3">
      <c r="AM647" s="14"/>
    </row>
    <row r="648" spans="39:39" x14ac:dyDescent="0.3">
      <c r="AM648" s="14"/>
    </row>
    <row r="649" spans="39:39" x14ac:dyDescent="0.3">
      <c r="AM649" s="14"/>
    </row>
    <row r="650" spans="39:39" x14ac:dyDescent="0.3">
      <c r="AM650" s="14"/>
    </row>
    <row r="651" spans="39:39" x14ac:dyDescent="0.3">
      <c r="AM651" s="14"/>
    </row>
    <row r="652" spans="39:39" x14ac:dyDescent="0.3">
      <c r="AM652" s="14"/>
    </row>
    <row r="653" spans="39:39" x14ac:dyDescent="0.3">
      <c r="AM653" s="14"/>
    </row>
    <row r="654" spans="39:39" x14ac:dyDescent="0.3">
      <c r="AM654" s="14"/>
    </row>
    <row r="655" spans="39:39" x14ac:dyDescent="0.3">
      <c r="AM655" s="14"/>
    </row>
    <row r="656" spans="39:39" x14ac:dyDescent="0.3">
      <c r="AM656" s="14"/>
    </row>
    <row r="657" spans="39:39" x14ac:dyDescent="0.3">
      <c r="AM657" s="14"/>
    </row>
    <row r="658" spans="39:39" x14ac:dyDescent="0.3">
      <c r="AM658" s="14"/>
    </row>
    <row r="659" spans="39:39" x14ac:dyDescent="0.3">
      <c r="AM659" s="14"/>
    </row>
    <row r="660" spans="39:39" x14ac:dyDescent="0.3">
      <c r="AM660" s="14"/>
    </row>
    <row r="661" spans="39:39" x14ac:dyDescent="0.3">
      <c r="AM661" s="14"/>
    </row>
    <row r="662" spans="39:39" x14ac:dyDescent="0.3">
      <c r="AM662" s="14"/>
    </row>
    <row r="663" spans="39:39" x14ac:dyDescent="0.3">
      <c r="AM663" s="14"/>
    </row>
    <row r="664" spans="39:39" x14ac:dyDescent="0.3">
      <c r="AM664" s="14"/>
    </row>
    <row r="665" spans="39:39" x14ac:dyDescent="0.3">
      <c r="AM665" s="14"/>
    </row>
    <row r="666" spans="39:39" x14ac:dyDescent="0.3">
      <c r="AM666" s="14"/>
    </row>
    <row r="667" spans="39:39" x14ac:dyDescent="0.3">
      <c r="AM667" s="14"/>
    </row>
    <row r="668" spans="39:39" x14ac:dyDescent="0.3">
      <c r="AM668" s="14"/>
    </row>
    <row r="669" spans="39:39" x14ac:dyDescent="0.3">
      <c r="AM669" s="14"/>
    </row>
    <row r="670" spans="39:39" x14ac:dyDescent="0.3">
      <c r="AM670" s="14"/>
    </row>
    <row r="671" spans="39:39" x14ac:dyDescent="0.3">
      <c r="AM671" s="14"/>
    </row>
    <row r="672" spans="39:39" x14ac:dyDescent="0.3">
      <c r="AM672" s="14"/>
    </row>
    <row r="673" spans="39:39" x14ac:dyDescent="0.3">
      <c r="AM673" s="14"/>
    </row>
    <row r="674" spans="39:39" x14ac:dyDescent="0.3">
      <c r="AM674" s="14"/>
    </row>
    <row r="675" spans="39:39" x14ac:dyDescent="0.3">
      <c r="AM675" s="14"/>
    </row>
    <row r="676" spans="39:39" x14ac:dyDescent="0.3">
      <c r="AM676" s="14"/>
    </row>
    <row r="677" spans="39:39" x14ac:dyDescent="0.3">
      <c r="AM677" s="14"/>
    </row>
    <row r="678" spans="39:39" x14ac:dyDescent="0.3">
      <c r="AM678" s="14"/>
    </row>
    <row r="679" spans="39:39" x14ac:dyDescent="0.3">
      <c r="AM679" s="14"/>
    </row>
    <row r="680" spans="39:39" x14ac:dyDescent="0.3">
      <c r="AM680" s="14"/>
    </row>
    <row r="681" spans="39:39" x14ac:dyDescent="0.3">
      <c r="AM681" s="14"/>
    </row>
    <row r="682" spans="39:39" x14ac:dyDescent="0.3">
      <c r="AM682" s="14"/>
    </row>
    <row r="683" spans="39:39" x14ac:dyDescent="0.3">
      <c r="AM683" s="14"/>
    </row>
    <row r="684" spans="39:39" x14ac:dyDescent="0.3">
      <c r="AM684" s="14"/>
    </row>
    <row r="685" spans="39:39" x14ac:dyDescent="0.3">
      <c r="AM685" s="14"/>
    </row>
    <row r="686" spans="39:39" x14ac:dyDescent="0.3">
      <c r="AM686" s="14"/>
    </row>
    <row r="687" spans="39:39" x14ac:dyDescent="0.3">
      <c r="AM687" s="14"/>
    </row>
    <row r="688" spans="39:39" x14ac:dyDescent="0.3">
      <c r="AM688" s="14"/>
    </row>
    <row r="689" spans="39:39" x14ac:dyDescent="0.3">
      <c r="AM689" s="14"/>
    </row>
    <row r="690" spans="39:39" x14ac:dyDescent="0.3">
      <c r="AM690" s="14"/>
    </row>
    <row r="691" spans="39:39" x14ac:dyDescent="0.3">
      <c r="AM691" s="14"/>
    </row>
    <row r="692" spans="39:39" x14ac:dyDescent="0.3">
      <c r="AM692" s="14"/>
    </row>
    <row r="693" spans="39:39" x14ac:dyDescent="0.3">
      <c r="AM693" s="14"/>
    </row>
    <row r="694" spans="39:39" x14ac:dyDescent="0.3">
      <c r="AM694" s="14"/>
    </row>
    <row r="695" spans="39:39" x14ac:dyDescent="0.3">
      <c r="AM695" s="14"/>
    </row>
    <row r="696" spans="39:39" x14ac:dyDescent="0.3">
      <c r="AM696" s="14"/>
    </row>
    <row r="697" spans="39:39" x14ac:dyDescent="0.3">
      <c r="AM697" s="14"/>
    </row>
    <row r="698" spans="39:39" x14ac:dyDescent="0.3">
      <c r="AM698" s="14"/>
    </row>
    <row r="699" spans="39:39" x14ac:dyDescent="0.3">
      <c r="AM699" s="14"/>
    </row>
    <row r="700" spans="39:39" x14ac:dyDescent="0.3">
      <c r="AM700" s="14"/>
    </row>
    <row r="701" spans="39:39" x14ac:dyDescent="0.3">
      <c r="AM701" s="14"/>
    </row>
    <row r="702" spans="39:39" x14ac:dyDescent="0.3">
      <c r="AM702" s="14"/>
    </row>
    <row r="703" spans="39:39" x14ac:dyDescent="0.3">
      <c r="AM703" s="14"/>
    </row>
    <row r="704" spans="39:39" x14ac:dyDescent="0.3">
      <c r="AM704" s="14"/>
    </row>
    <row r="705" spans="39:39" x14ac:dyDescent="0.3">
      <c r="AM705" s="14"/>
    </row>
    <row r="706" spans="39:39" x14ac:dyDescent="0.3">
      <c r="AM706" s="14"/>
    </row>
    <row r="707" spans="39:39" x14ac:dyDescent="0.3">
      <c r="AM707" s="14"/>
    </row>
    <row r="708" spans="39:39" x14ac:dyDescent="0.3">
      <c r="AM708" s="14"/>
    </row>
    <row r="709" spans="39:39" x14ac:dyDescent="0.3">
      <c r="AM709" s="14"/>
    </row>
    <row r="710" spans="39:39" x14ac:dyDescent="0.3">
      <c r="AM710" s="14"/>
    </row>
    <row r="711" spans="39:39" x14ac:dyDescent="0.3">
      <c r="AM711" s="14"/>
    </row>
    <row r="712" spans="39:39" x14ac:dyDescent="0.3">
      <c r="AM712" s="14"/>
    </row>
    <row r="713" spans="39:39" x14ac:dyDescent="0.3">
      <c r="AM713" s="14"/>
    </row>
    <row r="714" spans="39:39" x14ac:dyDescent="0.3">
      <c r="AM714" s="14"/>
    </row>
    <row r="715" spans="39:39" x14ac:dyDescent="0.3">
      <c r="AM715" s="14"/>
    </row>
    <row r="716" spans="39:39" x14ac:dyDescent="0.3">
      <c r="AM716" s="14"/>
    </row>
    <row r="717" spans="39:39" x14ac:dyDescent="0.3">
      <c r="AM717" s="14"/>
    </row>
    <row r="718" spans="39:39" x14ac:dyDescent="0.3">
      <c r="AM718" s="14"/>
    </row>
    <row r="719" spans="39:39" x14ac:dyDescent="0.3">
      <c r="AM719" s="14"/>
    </row>
    <row r="720" spans="39:39" x14ac:dyDescent="0.3">
      <c r="AM720" s="14"/>
    </row>
    <row r="721" spans="39:39" x14ac:dyDescent="0.3">
      <c r="AM721" s="14"/>
    </row>
    <row r="722" spans="39:39" x14ac:dyDescent="0.3">
      <c r="AM722" s="14"/>
    </row>
    <row r="723" spans="39:39" x14ac:dyDescent="0.3">
      <c r="AM723" s="14"/>
    </row>
    <row r="724" spans="39:39" x14ac:dyDescent="0.3">
      <c r="AM724" s="14"/>
    </row>
    <row r="725" spans="39:39" x14ac:dyDescent="0.3">
      <c r="AM725" s="14"/>
    </row>
    <row r="726" spans="39:39" x14ac:dyDescent="0.3">
      <c r="AM726" s="14"/>
    </row>
    <row r="727" spans="39:39" x14ac:dyDescent="0.3">
      <c r="AM727" s="14"/>
    </row>
    <row r="728" spans="39:39" x14ac:dyDescent="0.3">
      <c r="AM728" s="14"/>
    </row>
    <row r="729" spans="39:39" x14ac:dyDescent="0.3">
      <c r="AM729" s="14"/>
    </row>
    <row r="730" spans="39:39" x14ac:dyDescent="0.3">
      <c r="AM730" s="14"/>
    </row>
    <row r="731" spans="39:39" x14ac:dyDescent="0.3">
      <c r="AM731" s="14"/>
    </row>
    <row r="732" spans="39:39" x14ac:dyDescent="0.3">
      <c r="AM732" s="14"/>
    </row>
    <row r="733" spans="39:39" x14ac:dyDescent="0.3">
      <c r="AM733" s="14"/>
    </row>
    <row r="734" spans="39:39" x14ac:dyDescent="0.3">
      <c r="AM734" s="14"/>
    </row>
    <row r="735" spans="39:39" x14ac:dyDescent="0.3">
      <c r="AM735" s="14"/>
    </row>
    <row r="736" spans="39:39" x14ac:dyDescent="0.3">
      <c r="AM736" s="14"/>
    </row>
    <row r="737" spans="39:39" x14ac:dyDescent="0.3">
      <c r="AM737" s="14"/>
    </row>
    <row r="738" spans="39:39" x14ac:dyDescent="0.3">
      <c r="AM738" s="14"/>
    </row>
    <row r="739" spans="39:39" x14ac:dyDescent="0.3">
      <c r="AM739" s="14"/>
    </row>
    <row r="740" spans="39:39" x14ac:dyDescent="0.3">
      <c r="AM740" s="14"/>
    </row>
    <row r="741" spans="39:39" x14ac:dyDescent="0.3">
      <c r="AM741" s="14"/>
    </row>
    <row r="742" spans="39:39" x14ac:dyDescent="0.3">
      <c r="AM742" s="14"/>
    </row>
    <row r="743" spans="39:39" x14ac:dyDescent="0.3">
      <c r="AM743" s="14"/>
    </row>
    <row r="744" spans="39:39" x14ac:dyDescent="0.3">
      <c r="AM744" s="14"/>
    </row>
    <row r="745" spans="39:39" x14ac:dyDescent="0.3">
      <c r="AM745" s="14"/>
    </row>
    <row r="746" spans="39:39" x14ac:dyDescent="0.3">
      <c r="AM746" s="14"/>
    </row>
    <row r="747" spans="39:39" x14ac:dyDescent="0.3">
      <c r="AM747" s="14"/>
    </row>
    <row r="748" spans="39:39" x14ac:dyDescent="0.3">
      <c r="AM748" s="14"/>
    </row>
    <row r="749" spans="39:39" x14ac:dyDescent="0.3">
      <c r="AM749" s="14"/>
    </row>
    <row r="750" spans="39:39" x14ac:dyDescent="0.3">
      <c r="AM750" s="14"/>
    </row>
    <row r="751" spans="39:39" x14ac:dyDescent="0.3">
      <c r="AM751" s="14"/>
    </row>
    <row r="752" spans="39:39" x14ac:dyDescent="0.3">
      <c r="AM752" s="14"/>
    </row>
    <row r="753" spans="39:39" x14ac:dyDescent="0.3">
      <c r="AM753" s="14"/>
    </row>
    <row r="754" spans="39:39" x14ac:dyDescent="0.3">
      <c r="AM754" s="14"/>
    </row>
    <row r="755" spans="39:39" x14ac:dyDescent="0.3">
      <c r="AM755" s="14"/>
    </row>
    <row r="756" spans="39:39" x14ac:dyDescent="0.3">
      <c r="AM756" s="14"/>
    </row>
    <row r="757" spans="39:39" x14ac:dyDescent="0.3">
      <c r="AM757" s="14"/>
    </row>
    <row r="758" spans="39:39" x14ac:dyDescent="0.3">
      <c r="AM758" s="14"/>
    </row>
    <row r="759" spans="39:39" x14ac:dyDescent="0.3">
      <c r="AM759" s="14"/>
    </row>
    <row r="760" spans="39:39" x14ac:dyDescent="0.3">
      <c r="AM760" s="14"/>
    </row>
    <row r="761" spans="39:39" x14ac:dyDescent="0.3">
      <c r="AM761" s="14"/>
    </row>
    <row r="762" spans="39:39" x14ac:dyDescent="0.3">
      <c r="AM762" s="14"/>
    </row>
    <row r="763" spans="39:39" x14ac:dyDescent="0.3">
      <c r="AM763" s="14"/>
    </row>
    <row r="764" spans="39:39" x14ac:dyDescent="0.3">
      <c r="AM764" s="14"/>
    </row>
    <row r="765" spans="39:39" x14ac:dyDescent="0.3">
      <c r="AM765" s="14"/>
    </row>
    <row r="766" spans="39:39" x14ac:dyDescent="0.3">
      <c r="AM766" s="14"/>
    </row>
    <row r="767" spans="39:39" x14ac:dyDescent="0.3">
      <c r="AM767" s="14"/>
    </row>
    <row r="768" spans="39:39" x14ac:dyDescent="0.3">
      <c r="AM768" s="14"/>
    </row>
    <row r="769" spans="39:39" x14ac:dyDescent="0.3">
      <c r="AM769" s="14"/>
    </row>
  </sheetData>
  <autoFilter ref="A1:AY349" xr:uid="{51F4FBA5-2FC3-4167-A19F-9C9C381F5D27}">
    <sortState xmlns:xlrd2="http://schemas.microsoft.com/office/spreadsheetml/2017/richdata2" ref="A3:BD346">
      <sortCondition ref="J1"/>
    </sortState>
  </autoFilter>
  <dataValidations count="2">
    <dataValidation type="list" allowBlank="1" showInputMessage="1" showErrorMessage="1" sqref="O1119:O1048576" xr:uid="{4F1B0645-F79D-42FA-8F73-8E474DE3761D}">
      <formula1>$T$1:$T$2</formula1>
    </dataValidation>
    <dataValidation type="list" allowBlank="1" showInputMessage="1" showErrorMessage="1" sqref="N842:N1268" xr:uid="{180AFD13-0EAD-42F0-AAEF-8CF00E5FDB9B}">
      <formula1>$AB$1:$AB$2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Charred remains_R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GARCIA BARCELO</dc:creator>
  <cp:lastModifiedBy>CARMEN GARCIA BARCELO</cp:lastModifiedBy>
  <dcterms:created xsi:type="dcterms:W3CDTF">2026-03-17T13:59:41Z</dcterms:created>
  <dcterms:modified xsi:type="dcterms:W3CDTF">2026-03-17T14:00:34Z</dcterms:modified>
</cp:coreProperties>
</file>